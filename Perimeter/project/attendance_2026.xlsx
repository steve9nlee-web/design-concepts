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p_2026" sheetId="1" r:id="rId1"/>
    <sheet name="Summary" sheetId="2" r:id="rId2"/>
  </sheets>
  <calcPr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hh:mm:ss"/>
  </numFmts>
  <fonts count="3">
    <font>
      <sz val="11"/>
      <name val="Calibri"/>
    </font>
    <font>
      <b/>
      <sz val="11"/>
      <color rgb="FFFBF7F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120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2C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1" xfId="0" applyNumberFormat="1" applyBorder="1"/>
    <xf numFmtId="165" fontId="0" fillId="0" borderId="1" xfId="0" applyNumberFormat="1" applyBorder="1"/>
    <xf numFmtId="0" fontId="2" fillId="0" borderId="0" xfId="0" applyFont="1"/>
  </cellXfs>
  <dxfs count="3">
    <dxf>
      <font>
        <color rgb="FF9C2A12"/>
      </font>
      <fill>
        <patternFill>
          <bgColor rgb="FFFBD9D2"/>
        </patternFill>
      </fill>
    </dxf>
    <dxf>
      <font>
        <color rgb="FFA33F05"/>
      </font>
      <fill>
        <patternFill>
          <bgColor rgb="FFFFE8D6"/>
        </patternFill>
      </fill>
    </dxf>
    <dxf>
      <font>
        <color rgb="FF0B5C39"/>
      </font>
      <fill>
        <patternFill>
          <bgColor rgb="FFD9F2E4"/>
        </patternFill>
      </fill>
    </dxf>
  </d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Q400"/>
  <sheetViews>
    <sheetView tabSelected="1" workbookViewId="0">
      <pane ySplit="1" topLeftCell="A2" activePane="bottomLeft" state="frozen"/>
    </sheetView>
  </sheetViews>
  <sheetFormatPr defaultRowHeight="15"/>
  <cols>
    <col min="1" max="1" width="11" customWidth="1"/>
    <col min="2" max="2" width="20" customWidth="1"/>
    <col min="3" max="3" width="12" customWidth="1"/>
    <col min="4" max="4" width="11" customWidth="1"/>
    <col min="5" max="5" width="11" customWidth="1"/>
    <col min="6" max="6" width="13" customWidth="1"/>
    <col min="7" max="7" width="14" customWidth="1"/>
    <col min="8" max="8" width="13" customWidth="1"/>
    <col min="9" max="9" width="14" customWidth="1"/>
    <col min="10" max="10" width="20" customWidth="1"/>
    <col min="11" max="11" width="11" customWidth="1"/>
    <col min="12" max="12" width="11" customWidth="1"/>
    <col min="13" max="13" width="12" customWidth="1"/>
    <col min="14" max="14" width="9" customWidth="1"/>
    <col min="15" max="15" width="11" customWidth="1"/>
    <col min="16" max="16" width="14" customWidth="1"/>
    <col min="17" max="17" width="26" customWidth="1"/>
  </cols>
  <sheetData>
    <row r="1" ht="24" customHeight="1">
      <c r="A1" s="1" t="inlineStr">
        <is>
          <t>staff_id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login_at</t>
        </is>
      </c>
      <c r="E1" s="1" t="inlineStr">
        <is>
          <t>logout_at</t>
        </is>
      </c>
      <c r="F1" s="1" t="inlineStr">
        <is>
          <t>duration_min</t>
        </is>
      </c>
      <c r="G1" s="1" t="inlineStr">
        <is>
          <t>duration_hhmm</t>
        </is>
      </c>
      <c r="H1" s="1" t="inlineStr">
        <is>
          <t>site</t>
        </is>
      </c>
      <c r="I1" s="1" t="inlineStr">
        <is>
          <t>ssid</t>
        </is>
      </c>
      <c r="J1" s="1" t="inlineStr">
        <is>
          <t>bssid</t>
        </is>
      </c>
      <c r="K1" s="1" t="inlineStr">
        <is>
          <t>lat</t>
        </is>
      </c>
      <c r="L1" s="1" t="inlineStr">
        <is>
          <t>lng</t>
        </is>
      </c>
      <c r="M1" s="1" t="inlineStr">
        <is>
          <t>accuracy_m</t>
        </is>
      </c>
      <c r="N1" s="1" t="inlineStr">
        <is>
          <t>method</t>
        </is>
      </c>
      <c r="O1" s="1" t="inlineStr">
        <is>
          <t>flag</t>
        </is>
      </c>
      <c r="P1" s="1" t="inlineStr">
        <is>
          <t>device_id</t>
        </is>
      </c>
      <c r="Q1" s="1" t="inlineStr">
        <is>
          <t>row_key</t>
        </is>
      </c>
    </row>
    <row r="2">
      <c r="A2" t="inlineStr">
        <is>
          <t>EMP-0412</t>
        </is>
      </c>
      <c r="B2" t="inlineStr">
        <is>
          <t>Nadia Rahman</t>
        </is>
      </c>
      <c r="C2" s="2">
        <v>46266</v>
      </c>
      <c r="D2" s="3">
        <v>0.35638888888888887</v>
      </c>
      <c r="E2" s="3">
        <v>0.7534143518518519</v>
      </c>
      <c r="F2">
        <f>IF(OR(D2="",E2=""),"",ROUND((E2-D2)*1440,0))</f>
      </c>
      <c r="G2">
        <f>IF(F2="","",TEXT(F2/1440,"[h]:mm"))</f>
      </c>
      <c r="H2" t="inlineStr">
        <is>
          <t>HQ-AMPANG</t>
        </is>
      </c>
      <c r="I2" t="inlineStr">
        <is>
          <t>CORP-STAFF</t>
        </is>
      </c>
      <c r="J2" t="inlineStr">
        <is>
          <t>3c:07:54:aa:1d:02</t>
        </is>
      </c>
      <c r="K2">
        <v>3.15781</v>
      </c>
      <c r="L2">
        <v>101.71169</v>
      </c>
      <c r="M2">
        <v>8</v>
      </c>
      <c r="N2" t="inlineStr">
        <is>
          <t>AUTO</t>
        </is>
      </c>
      <c r="O2" t="inlineStr">
        <is>
          <t>OK</t>
        </is>
      </c>
      <c r="P2" t="inlineStr">
        <is>
          <t>iPhone·a91f</t>
        </is>
      </c>
      <c r="Q2" t="inlineStr">
        <is>
          <t>EMP-0412|2026-09-01T08:33:12</t>
        </is>
      </c>
    </row>
    <row r="3">
      <c r="A3" t="inlineStr">
        <is>
          <t>EMP-0412</t>
        </is>
      </c>
      <c r="B3" t="inlineStr">
        <is>
          <t>Nadia Rahman</t>
        </is>
      </c>
      <c r="C3" s="2">
        <v>46267</v>
      </c>
      <c r="D3" s="3">
        <v>0.3618865740740741</v>
      </c>
      <c r="E3" s="3">
        <v>0.6016087962962963</v>
      </c>
      <c r="F3">
        <f>IF(OR(D3="",E3=""),"",ROUND((E3-D3)*1440,0))</f>
      </c>
      <c r="G3">
        <f>IF(F3="","",TEXT(F3/1440,"[h]:mm"))</f>
      </c>
      <c r="H3" t="inlineStr">
        <is>
          <t>HQ-AMPANG</t>
        </is>
      </c>
      <c r="I3" t="inlineStr">
        <is>
          <t>CORP-STAFF</t>
        </is>
      </c>
      <c r="J3" t="inlineStr">
        <is>
          <t>3c:07:54:aa:1d:02</t>
        </is>
      </c>
      <c r="K3">
        <v>3.1578</v>
      </c>
      <c r="L3">
        <v>101.7117</v>
      </c>
      <c r="M3">
        <v>8</v>
      </c>
      <c r="N3" t="inlineStr">
        <is>
          <t>AUTO</t>
        </is>
      </c>
      <c r="O3" t="inlineStr">
        <is>
          <t>OK</t>
        </is>
      </c>
      <c r="P3" t="inlineStr">
        <is>
          <t>iPhone·a91f</t>
        </is>
      </c>
      <c r="Q3" t="inlineStr">
        <is>
          <t>EMP-0412|2026-09-02T08:41:07</t>
        </is>
      </c>
    </row>
    <row r="4">
      <c r="A4" t="inlineStr">
        <is>
          <t>EMP-0198</t>
        </is>
      </c>
      <c r="B4" t="inlineStr">
        <is>
          <t>Arif Tan</t>
        </is>
      </c>
      <c r="C4" s="2">
        <v>46267</v>
      </c>
      <c r="D4" s="3">
        <v>0.3847453703703704</v>
      </c>
      <c r="E4" s="3">
        <v>0.7490740740740741</v>
      </c>
      <c r="F4">
        <f>IF(OR(D4="",E4=""),"",ROUND((E4-D4)*1440,0))</f>
      </c>
      <c r="G4">
        <f>IF(F4="","",TEXT(F4/1440,"[h]:mm"))</f>
      </c>
      <c r="H4" t="inlineStr">
        <is>
          <t>HQ-AMPANG</t>
        </is>
      </c>
      <c r="I4" t="inlineStr">
        <is>
          <t>CORP-STAFF</t>
        </is>
      </c>
      <c r="J4" t="inlineStr">
        <is>
          <t>3c:07:54:aa:1d:03</t>
        </is>
      </c>
      <c r="K4">
        <v>3.15784</v>
      </c>
      <c r="L4">
        <v>101.71161</v>
      </c>
      <c r="M4">
        <v>22</v>
      </c>
      <c r="N4" t="inlineStr">
        <is>
          <t>AUTO</t>
        </is>
      </c>
      <c r="O4" t="inlineStr">
        <is>
          <t>LOW GPS</t>
        </is>
      </c>
      <c r="P4" t="inlineStr">
        <is>
          <t>Pixel·77c1</t>
        </is>
      </c>
      <c r="Q4" t="inlineStr">
        <is>
          <t>EMP-0198|2026-09-02T09:14:02</t>
        </is>
      </c>
    </row>
    <row r="5">
      <c r="A5" t="inlineStr">
        <is>
          <t>EMP-0331</t>
        </is>
      </c>
      <c r="B5" t="inlineStr">
        <is>
          <t>Siti Lim</t>
        </is>
      </c>
      <c r="C5" s="2">
        <v>46267</v>
      </c>
      <c r="D5" s="3">
        <v>0.3540625</v>
      </c>
      <c r="E5" s="3"/>
      <c r="F5">
        <f>IF(OR(D5="",E5=""),"",ROUND((E5-D5)*1440,0))</f>
      </c>
      <c r="G5">
        <f>IF(F5="","",TEXT(F5/1440,"[h]:mm"))</f>
      </c>
      <c r="H5" t="inlineStr">
        <is>
          <t>HQ-AMPANG</t>
        </is>
      </c>
      <c r="I5" t="inlineStr">
        <is>
          <t>CORP-STAFF</t>
        </is>
      </c>
      <c r="J5" t="inlineStr">
        <is>
          <t>3c:07:54:aa:1d:02</t>
        </is>
      </c>
      <c r="K5">
        <v>3.15779</v>
      </c>
      <c r="L5">
        <v>101.71174</v>
      </c>
      <c r="M5">
        <v>11</v>
      </c>
      <c r="N5" t="inlineStr">
        <is>
          <t>AUTO</t>
        </is>
      </c>
      <c r="O5" t="inlineStr">
        <is>
          <t>OPEN</t>
        </is>
      </c>
      <c r="P5" t="inlineStr">
        <is>
          <t>iPhone·4b02</t>
        </is>
      </c>
      <c r="Q5" t="inlineStr">
        <is>
          <t>EMP-0331|2026-09-02T08:29:51</t>
        </is>
      </c>
    </row>
    <row r="6">
      <c r="F6">
        <f>IF(OR(D6="",E6=""),"",ROUND((E6-D6)*1440,0))</f>
      </c>
      <c r="G6">
        <f>IF(F6="","",TEXT(F6/1440,"[h]:mm"))</f>
      </c>
    </row>
    <row r="7">
      <c r="F7">
        <f>IF(OR(D7="",E7=""),"",ROUND((E7-D7)*1440,0))</f>
      </c>
      <c r="G7">
        <f>IF(F7="","",TEXT(F7/1440,"[h]:mm"))</f>
      </c>
    </row>
    <row r="8">
      <c r="F8">
        <f>IF(OR(D8="",E8=""),"",ROUND((E8-D8)*1440,0))</f>
      </c>
      <c r="G8">
        <f>IF(F8="","",TEXT(F8/1440,"[h]:mm"))</f>
      </c>
    </row>
    <row r="9">
      <c r="F9">
        <f>IF(OR(D9="",E9=""),"",ROUND((E9-D9)*1440,0))</f>
      </c>
      <c r="G9">
        <f>IF(F9="","",TEXT(F9/1440,"[h]:mm"))</f>
      </c>
    </row>
    <row r="10">
      <c r="F10">
        <f>IF(OR(D10="",E10=""),"",ROUND((E10-D10)*1440,0))</f>
      </c>
      <c r="G10">
        <f>IF(F10="","",TEXT(F10/1440,"[h]:mm"))</f>
      </c>
    </row>
    <row r="11">
      <c r="F11">
        <f>IF(OR(D11="",E11=""),"",ROUND((E11-D11)*1440,0))</f>
      </c>
      <c r="G11">
        <f>IF(F11="","",TEXT(F11/1440,"[h]:mm"))</f>
      </c>
    </row>
    <row r="12">
      <c r="F12">
        <f>IF(OR(D12="",E12=""),"",ROUND((E12-D12)*1440,0))</f>
      </c>
      <c r="G12">
        <f>IF(F12="","",TEXT(F12/1440,"[h]:mm"))</f>
      </c>
    </row>
    <row r="13">
      <c r="F13">
        <f>IF(OR(D13="",E13=""),"",ROUND((E13-D13)*1440,0))</f>
      </c>
      <c r="G13">
        <f>IF(F13="","",TEXT(F13/1440,"[h]:mm"))</f>
      </c>
    </row>
    <row r="14">
      <c r="F14">
        <f>IF(OR(D14="",E14=""),"",ROUND((E14-D14)*1440,0))</f>
      </c>
      <c r="G14">
        <f>IF(F14="","",TEXT(F14/1440,"[h]:mm"))</f>
      </c>
    </row>
    <row r="15">
      <c r="F15">
        <f>IF(OR(D15="",E15=""),"",ROUND((E15-D15)*1440,0))</f>
      </c>
      <c r="G15">
        <f>IF(F15="","",TEXT(F15/1440,"[h]:mm"))</f>
      </c>
    </row>
    <row r="16">
      <c r="F16">
        <f>IF(OR(D16="",E16=""),"",ROUND((E16-D16)*1440,0))</f>
      </c>
      <c r="G16">
        <f>IF(F16="","",TEXT(F16/1440,"[h]:mm"))</f>
      </c>
    </row>
    <row r="17">
      <c r="F17">
        <f>IF(OR(D17="",E17=""),"",ROUND((E17-D17)*1440,0))</f>
      </c>
      <c r="G17">
        <f>IF(F17="","",TEXT(F17/1440,"[h]:mm"))</f>
      </c>
    </row>
    <row r="18">
      <c r="F18">
        <f>IF(OR(D18="",E18=""),"",ROUND((E18-D18)*1440,0))</f>
      </c>
      <c r="G18">
        <f>IF(F18="","",TEXT(F18/1440,"[h]:mm"))</f>
      </c>
    </row>
    <row r="19">
      <c r="F19">
        <f>IF(OR(D19="",E19=""),"",ROUND((E19-D19)*1440,0))</f>
      </c>
      <c r="G19">
        <f>IF(F19="","",TEXT(F19/1440,"[h]:mm"))</f>
      </c>
    </row>
    <row r="20">
      <c r="F20">
        <f>IF(OR(D20="",E20=""),"",ROUND((E20-D20)*1440,0))</f>
      </c>
      <c r="G20">
        <f>IF(F20="","",TEXT(F20/1440,"[h]:mm"))</f>
      </c>
    </row>
    <row r="21">
      <c r="F21">
        <f>IF(OR(D21="",E21=""),"",ROUND((E21-D21)*1440,0))</f>
      </c>
      <c r="G21">
        <f>IF(F21="","",TEXT(F21/1440,"[h]:mm"))</f>
      </c>
    </row>
    <row r="22">
      <c r="F22">
        <f>IF(OR(D22="",E22=""),"",ROUND((E22-D22)*1440,0))</f>
      </c>
      <c r="G22">
        <f>IF(F22="","",TEXT(F22/1440,"[h]:mm"))</f>
      </c>
    </row>
    <row r="23">
      <c r="F23">
        <f>IF(OR(D23="",E23=""),"",ROUND((E23-D23)*1440,0))</f>
      </c>
      <c r="G23">
        <f>IF(F23="","",TEXT(F23/1440,"[h]:mm"))</f>
      </c>
    </row>
    <row r="24">
      <c r="F24">
        <f>IF(OR(D24="",E24=""),"",ROUND((E24-D24)*1440,0))</f>
      </c>
      <c r="G24">
        <f>IF(F24="","",TEXT(F24/1440,"[h]:mm"))</f>
      </c>
    </row>
    <row r="25">
      <c r="F25">
        <f>IF(OR(D25="",E25=""),"",ROUND((E25-D25)*1440,0))</f>
      </c>
      <c r="G25">
        <f>IF(F25="","",TEXT(F25/1440,"[h]:mm"))</f>
      </c>
    </row>
    <row r="26">
      <c r="F26">
        <f>IF(OR(D26="",E26=""),"",ROUND((E26-D26)*1440,0))</f>
      </c>
      <c r="G26">
        <f>IF(F26="","",TEXT(F26/1440,"[h]:mm"))</f>
      </c>
    </row>
    <row r="27">
      <c r="F27">
        <f>IF(OR(D27="",E27=""),"",ROUND((E27-D27)*1440,0))</f>
      </c>
      <c r="G27">
        <f>IF(F27="","",TEXT(F27/1440,"[h]:mm"))</f>
      </c>
    </row>
    <row r="28">
      <c r="F28">
        <f>IF(OR(D28="",E28=""),"",ROUND((E28-D28)*1440,0))</f>
      </c>
      <c r="G28">
        <f>IF(F28="","",TEXT(F28/1440,"[h]:mm"))</f>
      </c>
    </row>
    <row r="29">
      <c r="F29">
        <f>IF(OR(D29="",E29=""),"",ROUND((E29-D29)*1440,0))</f>
      </c>
      <c r="G29">
        <f>IF(F29="","",TEXT(F29/1440,"[h]:mm"))</f>
      </c>
    </row>
    <row r="30">
      <c r="F30">
        <f>IF(OR(D30="",E30=""),"",ROUND((E30-D30)*1440,0))</f>
      </c>
      <c r="G30">
        <f>IF(F30="","",TEXT(F30/1440,"[h]:mm"))</f>
      </c>
    </row>
    <row r="31">
      <c r="F31">
        <f>IF(OR(D31="",E31=""),"",ROUND((E31-D31)*1440,0))</f>
      </c>
      <c r="G31">
        <f>IF(F31="","",TEXT(F31/1440,"[h]:mm"))</f>
      </c>
    </row>
    <row r="32">
      <c r="F32">
        <f>IF(OR(D32="",E32=""),"",ROUND((E32-D32)*1440,0))</f>
      </c>
      <c r="G32">
        <f>IF(F32="","",TEXT(F32/1440,"[h]:mm"))</f>
      </c>
    </row>
    <row r="33">
      <c r="F33">
        <f>IF(OR(D33="",E33=""),"",ROUND((E33-D33)*1440,0))</f>
      </c>
      <c r="G33">
        <f>IF(F33="","",TEXT(F33/1440,"[h]:mm"))</f>
      </c>
    </row>
    <row r="34">
      <c r="F34">
        <f>IF(OR(D34="",E34=""),"",ROUND((E34-D34)*1440,0))</f>
      </c>
      <c r="G34">
        <f>IF(F34="","",TEXT(F34/1440,"[h]:mm"))</f>
      </c>
    </row>
    <row r="35">
      <c r="F35">
        <f>IF(OR(D35="",E35=""),"",ROUND((E35-D35)*1440,0))</f>
      </c>
      <c r="G35">
        <f>IF(F35="","",TEXT(F35/1440,"[h]:mm"))</f>
      </c>
    </row>
    <row r="36">
      <c r="F36">
        <f>IF(OR(D36="",E36=""),"",ROUND((E36-D36)*1440,0))</f>
      </c>
      <c r="G36">
        <f>IF(F36="","",TEXT(F36/1440,"[h]:mm"))</f>
      </c>
    </row>
    <row r="37">
      <c r="F37">
        <f>IF(OR(D37="",E37=""),"",ROUND((E37-D37)*1440,0))</f>
      </c>
      <c r="G37">
        <f>IF(F37="","",TEXT(F37/1440,"[h]:mm"))</f>
      </c>
    </row>
    <row r="38">
      <c r="F38">
        <f>IF(OR(D38="",E38=""),"",ROUND((E38-D38)*1440,0))</f>
      </c>
      <c r="G38">
        <f>IF(F38="","",TEXT(F38/1440,"[h]:mm"))</f>
      </c>
    </row>
    <row r="39">
      <c r="F39">
        <f>IF(OR(D39="",E39=""),"",ROUND((E39-D39)*1440,0))</f>
      </c>
      <c r="G39">
        <f>IF(F39="","",TEXT(F39/1440,"[h]:mm"))</f>
      </c>
    </row>
    <row r="40">
      <c r="F40">
        <f>IF(OR(D40="",E40=""),"",ROUND((E40-D40)*1440,0))</f>
      </c>
      <c r="G40">
        <f>IF(F40="","",TEXT(F40/1440,"[h]:mm"))</f>
      </c>
    </row>
    <row r="41">
      <c r="F41">
        <f>IF(OR(D41="",E41=""),"",ROUND((E41-D41)*1440,0))</f>
      </c>
      <c r="G41">
        <f>IF(F41="","",TEXT(F41/1440,"[h]:mm"))</f>
      </c>
    </row>
    <row r="42">
      <c r="F42">
        <f>IF(OR(D42="",E42=""),"",ROUND((E42-D42)*1440,0))</f>
      </c>
      <c r="G42">
        <f>IF(F42="","",TEXT(F42/1440,"[h]:mm"))</f>
      </c>
    </row>
    <row r="43">
      <c r="F43">
        <f>IF(OR(D43="",E43=""),"",ROUND((E43-D43)*1440,0))</f>
      </c>
      <c r="G43">
        <f>IF(F43="","",TEXT(F43/1440,"[h]:mm"))</f>
      </c>
    </row>
    <row r="44">
      <c r="F44">
        <f>IF(OR(D44="",E44=""),"",ROUND((E44-D44)*1440,0))</f>
      </c>
      <c r="G44">
        <f>IF(F44="","",TEXT(F44/1440,"[h]:mm"))</f>
      </c>
    </row>
    <row r="45">
      <c r="F45">
        <f>IF(OR(D45="",E45=""),"",ROUND((E45-D45)*1440,0))</f>
      </c>
      <c r="G45">
        <f>IF(F45="","",TEXT(F45/1440,"[h]:mm"))</f>
      </c>
    </row>
    <row r="46">
      <c r="F46">
        <f>IF(OR(D46="",E46=""),"",ROUND((E46-D46)*1440,0))</f>
      </c>
      <c r="G46">
        <f>IF(F46="","",TEXT(F46/1440,"[h]:mm"))</f>
      </c>
    </row>
    <row r="47">
      <c r="F47">
        <f>IF(OR(D47="",E47=""),"",ROUND((E47-D47)*1440,0))</f>
      </c>
      <c r="G47">
        <f>IF(F47="","",TEXT(F47/1440,"[h]:mm"))</f>
      </c>
    </row>
    <row r="48">
      <c r="F48">
        <f>IF(OR(D48="",E48=""),"",ROUND((E48-D48)*1440,0))</f>
      </c>
      <c r="G48">
        <f>IF(F48="","",TEXT(F48/1440,"[h]:mm"))</f>
      </c>
    </row>
    <row r="49">
      <c r="F49">
        <f>IF(OR(D49="",E49=""),"",ROUND((E49-D49)*1440,0))</f>
      </c>
      <c r="G49">
        <f>IF(F49="","",TEXT(F49/1440,"[h]:mm"))</f>
      </c>
    </row>
    <row r="50">
      <c r="F50">
        <f>IF(OR(D50="",E50=""),"",ROUND((E50-D50)*1440,0))</f>
      </c>
      <c r="G50">
        <f>IF(F50="","",TEXT(F50/1440,"[h]:mm"))</f>
      </c>
    </row>
    <row r="51">
      <c r="F51">
        <f>IF(OR(D51="",E51=""),"",ROUND((E51-D51)*1440,0))</f>
      </c>
      <c r="G51">
        <f>IF(F51="","",TEXT(F51/1440,"[h]:mm"))</f>
      </c>
    </row>
    <row r="52">
      <c r="F52">
        <f>IF(OR(D52="",E52=""),"",ROUND((E52-D52)*1440,0))</f>
      </c>
      <c r="G52">
        <f>IF(F52="","",TEXT(F52/1440,"[h]:mm"))</f>
      </c>
    </row>
    <row r="53">
      <c r="F53">
        <f>IF(OR(D53="",E53=""),"",ROUND((E53-D53)*1440,0))</f>
      </c>
      <c r="G53">
        <f>IF(F53="","",TEXT(F53/1440,"[h]:mm"))</f>
      </c>
    </row>
    <row r="54">
      <c r="F54">
        <f>IF(OR(D54="",E54=""),"",ROUND((E54-D54)*1440,0))</f>
      </c>
      <c r="G54">
        <f>IF(F54="","",TEXT(F54/1440,"[h]:mm"))</f>
      </c>
    </row>
    <row r="55">
      <c r="F55">
        <f>IF(OR(D55="",E55=""),"",ROUND((E55-D55)*1440,0))</f>
      </c>
      <c r="G55">
        <f>IF(F55="","",TEXT(F55/1440,"[h]:mm"))</f>
      </c>
    </row>
    <row r="56">
      <c r="F56">
        <f>IF(OR(D56="",E56=""),"",ROUND((E56-D56)*1440,0))</f>
      </c>
      <c r="G56">
        <f>IF(F56="","",TEXT(F56/1440,"[h]:mm"))</f>
      </c>
    </row>
    <row r="57">
      <c r="F57">
        <f>IF(OR(D57="",E57=""),"",ROUND((E57-D57)*1440,0))</f>
      </c>
      <c r="G57">
        <f>IF(F57="","",TEXT(F57/1440,"[h]:mm"))</f>
      </c>
    </row>
    <row r="58">
      <c r="F58">
        <f>IF(OR(D58="",E58=""),"",ROUND((E58-D58)*1440,0))</f>
      </c>
      <c r="G58">
        <f>IF(F58="","",TEXT(F58/1440,"[h]:mm"))</f>
      </c>
    </row>
    <row r="59">
      <c r="F59">
        <f>IF(OR(D59="",E59=""),"",ROUND((E59-D59)*1440,0))</f>
      </c>
      <c r="G59">
        <f>IF(F59="","",TEXT(F59/1440,"[h]:mm"))</f>
      </c>
    </row>
    <row r="60">
      <c r="F60">
        <f>IF(OR(D60="",E60=""),"",ROUND((E60-D60)*1440,0))</f>
      </c>
      <c r="G60">
        <f>IF(F60="","",TEXT(F60/1440,"[h]:mm"))</f>
      </c>
    </row>
    <row r="61">
      <c r="F61">
        <f>IF(OR(D61="",E61=""),"",ROUND((E61-D61)*1440,0))</f>
      </c>
      <c r="G61">
        <f>IF(F61="","",TEXT(F61/1440,"[h]:mm"))</f>
      </c>
    </row>
    <row r="62">
      <c r="F62">
        <f>IF(OR(D62="",E62=""),"",ROUND((E62-D62)*1440,0))</f>
      </c>
      <c r="G62">
        <f>IF(F62="","",TEXT(F62/1440,"[h]:mm"))</f>
      </c>
    </row>
    <row r="63">
      <c r="F63">
        <f>IF(OR(D63="",E63=""),"",ROUND((E63-D63)*1440,0))</f>
      </c>
      <c r="G63">
        <f>IF(F63="","",TEXT(F63/1440,"[h]:mm"))</f>
      </c>
    </row>
    <row r="64">
      <c r="F64">
        <f>IF(OR(D64="",E64=""),"",ROUND((E64-D64)*1440,0))</f>
      </c>
      <c r="G64">
        <f>IF(F64="","",TEXT(F64/1440,"[h]:mm"))</f>
      </c>
    </row>
    <row r="65">
      <c r="F65">
        <f>IF(OR(D65="",E65=""),"",ROUND((E65-D65)*1440,0))</f>
      </c>
      <c r="G65">
        <f>IF(F65="","",TEXT(F65/1440,"[h]:mm"))</f>
      </c>
    </row>
    <row r="66">
      <c r="F66">
        <f>IF(OR(D66="",E66=""),"",ROUND((E66-D66)*1440,0))</f>
      </c>
      <c r="G66">
        <f>IF(F66="","",TEXT(F66/1440,"[h]:mm"))</f>
      </c>
    </row>
    <row r="67">
      <c r="F67">
        <f>IF(OR(D67="",E67=""),"",ROUND((E67-D67)*1440,0))</f>
      </c>
      <c r="G67">
        <f>IF(F67="","",TEXT(F67/1440,"[h]:mm"))</f>
      </c>
    </row>
    <row r="68">
      <c r="F68">
        <f>IF(OR(D68="",E68=""),"",ROUND((E68-D68)*1440,0))</f>
      </c>
      <c r="G68">
        <f>IF(F68="","",TEXT(F68/1440,"[h]:mm"))</f>
      </c>
    </row>
    <row r="69">
      <c r="F69">
        <f>IF(OR(D69="",E69=""),"",ROUND((E69-D69)*1440,0))</f>
      </c>
      <c r="G69">
        <f>IF(F69="","",TEXT(F69/1440,"[h]:mm"))</f>
      </c>
    </row>
    <row r="70">
      <c r="F70">
        <f>IF(OR(D70="",E70=""),"",ROUND((E70-D70)*1440,0))</f>
      </c>
      <c r="G70">
        <f>IF(F70="","",TEXT(F70/1440,"[h]:mm"))</f>
      </c>
    </row>
    <row r="71">
      <c r="F71">
        <f>IF(OR(D71="",E71=""),"",ROUND((E71-D71)*1440,0))</f>
      </c>
      <c r="G71">
        <f>IF(F71="","",TEXT(F71/1440,"[h]:mm"))</f>
      </c>
    </row>
    <row r="72">
      <c r="F72">
        <f>IF(OR(D72="",E72=""),"",ROUND((E72-D72)*1440,0))</f>
      </c>
      <c r="G72">
        <f>IF(F72="","",TEXT(F72/1440,"[h]:mm"))</f>
      </c>
    </row>
    <row r="73">
      <c r="F73">
        <f>IF(OR(D73="",E73=""),"",ROUND((E73-D73)*1440,0))</f>
      </c>
      <c r="G73">
        <f>IF(F73="","",TEXT(F73/1440,"[h]:mm"))</f>
      </c>
    </row>
    <row r="74">
      <c r="F74">
        <f>IF(OR(D74="",E74=""),"",ROUND((E74-D74)*1440,0))</f>
      </c>
      <c r="G74">
        <f>IF(F74="","",TEXT(F74/1440,"[h]:mm"))</f>
      </c>
    </row>
    <row r="75">
      <c r="F75">
        <f>IF(OR(D75="",E75=""),"",ROUND((E75-D75)*1440,0))</f>
      </c>
      <c r="G75">
        <f>IF(F75="","",TEXT(F75/1440,"[h]:mm"))</f>
      </c>
    </row>
    <row r="76">
      <c r="F76">
        <f>IF(OR(D76="",E76=""),"",ROUND((E76-D76)*1440,0))</f>
      </c>
      <c r="G76">
        <f>IF(F76="","",TEXT(F76/1440,"[h]:mm"))</f>
      </c>
    </row>
    <row r="77">
      <c r="F77">
        <f>IF(OR(D77="",E77=""),"",ROUND((E77-D77)*1440,0))</f>
      </c>
      <c r="G77">
        <f>IF(F77="","",TEXT(F77/1440,"[h]:mm"))</f>
      </c>
    </row>
    <row r="78">
      <c r="F78">
        <f>IF(OR(D78="",E78=""),"",ROUND((E78-D78)*1440,0))</f>
      </c>
      <c r="G78">
        <f>IF(F78="","",TEXT(F78/1440,"[h]:mm"))</f>
      </c>
    </row>
    <row r="79">
      <c r="F79">
        <f>IF(OR(D79="",E79=""),"",ROUND((E79-D79)*1440,0))</f>
      </c>
      <c r="G79">
        <f>IF(F79="","",TEXT(F79/1440,"[h]:mm"))</f>
      </c>
    </row>
    <row r="80">
      <c r="F80">
        <f>IF(OR(D80="",E80=""),"",ROUND((E80-D80)*1440,0))</f>
      </c>
      <c r="G80">
        <f>IF(F80="","",TEXT(F80/1440,"[h]:mm"))</f>
      </c>
    </row>
    <row r="81">
      <c r="F81">
        <f>IF(OR(D81="",E81=""),"",ROUND((E81-D81)*1440,0))</f>
      </c>
      <c r="G81">
        <f>IF(F81="","",TEXT(F81/1440,"[h]:mm"))</f>
      </c>
    </row>
    <row r="82">
      <c r="F82">
        <f>IF(OR(D82="",E82=""),"",ROUND((E82-D82)*1440,0))</f>
      </c>
      <c r="G82">
        <f>IF(F82="","",TEXT(F82/1440,"[h]:mm"))</f>
      </c>
    </row>
    <row r="83">
      <c r="F83">
        <f>IF(OR(D83="",E83=""),"",ROUND((E83-D83)*1440,0))</f>
      </c>
      <c r="G83">
        <f>IF(F83="","",TEXT(F83/1440,"[h]:mm"))</f>
      </c>
    </row>
    <row r="84">
      <c r="F84">
        <f>IF(OR(D84="",E84=""),"",ROUND((E84-D84)*1440,0))</f>
      </c>
      <c r="G84">
        <f>IF(F84="","",TEXT(F84/1440,"[h]:mm"))</f>
      </c>
    </row>
    <row r="85">
      <c r="F85">
        <f>IF(OR(D85="",E85=""),"",ROUND((E85-D85)*1440,0))</f>
      </c>
      <c r="G85">
        <f>IF(F85="","",TEXT(F85/1440,"[h]:mm"))</f>
      </c>
    </row>
    <row r="86">
      <c r="F86">
        <f>IF(OR(D86="",E86=""),"",ROUND((E86-D86)*1440,0))</f>
      </c>
      <c r="G86">
        <f>IF(F86="","",TEXT(F86/1440,"[h]:mm"))</f>
      </c>
    </row>
    <row r="87">
      <c r="F87">
        <f>IF(OR(D87="",E87=""),"",ROUND((E87-D87)*1440,0))</f>
      </c>
      <c r="G87">
        <f>IF(F87="","",TEXT(F87/1440,"[h]:mm"))</f>
      </c>
    </row>
    <row r="88">
      <c r="F88">
        <f>IF(OR(D88="",E88=""),"",ROUND((E88-D88)*1440,0))</f>
      </c>
      <c r="G88">
        <f>IF(F88="","",TEXT(F88/1440,"[h]:mm"))</f>
      </c>
    </row>
    <row r="89">
      <c r="F89">
        <f>IF(OR(D89="",E89=""),"",ROUND((E89-D89)*1440,0))</f>
      </c>
      <c r="G89">
        <f>IF(F89="","",TEXT(F89/1440,"[h]:mm"))</f>
      </c>
    </row>
    <row r="90">
      <c r="F90">
        <f>IF(OR(D90="",E90=""),"",ROUND((E90-D90)*1440,0))</f>
      </c>
      <c r="G90">
        <f>IF(F90="","",TEXT(F90/1440,"[h]:mm"))</f>
      </c>
    </row>
    <row r="91">
      <c r="F91">
        <f>IF(OR(D91="",E91=""),"",ROUND((E91-D91)*1440,0))</f>
      </c>
      <c r="G91">
        <f>IF(F91="","",TEXT(F91/1440,"[h]:mm"))</f>
      </c>
    </row>
    <row r="92">
      <c r="F92">
        <f>IF(OR(D92="",E92=""),"",ROUND((E92-D92)*1440,0))</f>
      </c>
      <c r="G92">
        <f>IF(F92="","",TEXT(F92/1440,"[h]:mm"))</f>
      </c>
    </row>
    <row r="93">
      <c r="F93">
        <f>IF(OR(D93="",E93=""),"",ROUND((E93-D93)*1440,0))</f>
      </c>
      <c r="G93">
        <f>IF(F93="","",TEXT(F93/1440,"[h]:mm"))</f>
      </c>
    </row>
    <row r="94">
      <c r="F94">
        <f>IF(OR(D94="",E94=""),"",ROUND((E94-D94)*1440,0))</f>
      </c>
      <c r="G94">
        <f>IF(F94="","",TEXT(F94/1440,"[h]:mm"))</f>
      </c>
    </row>
    <row r="95">
      <c r="F95">
        <f>IF(OR(D95="",E95=""),"",ROUND((E95-D95)*1440,0))</f>
      </c>
      <c r="G95">
        <f>IF(F95="","",TEXT(F95/1440,"[h]:mm"))</f>
      </c>
    </row>
    <row r="96">
      <c r="F96">
        <f>IF(OR(D96="",E96=""),"",ROUND((E96-D96)*1440,0))</f>
      </c>
      <c r="G96">
        <f>IF(F96="","",TEXT(F96/1440,"[h]:mm"))</f>
      </c>
    </row>
    <row r="97">
      <c r="F97">
        <f>IF(OR(D97="",E97=""),"",ROUND((E97-D97)*1440,0))</f>
      </c>
      <c r="G97">
        <f>IF(F97="","",TEXT(F97/1440,"[h]:mm"))</f>
      </c>
    </row>
    <row r="98">
      <c r="F98">
        <f>IF(OR(D98="",E98=""),"",ROUND((E98-D98)*1440,0))</f>
      </c>
      <c r="G98">
        <f>IF(F98="","",TEXT(F98/1440,"[h]:mm"))</f>
      </c>
    </row>
    <row r="99">
      <c r="F99">
        <f>IF(OR(D99="",E99=""),"",ROUND((E99-D99)*1440,0))</f>
      </c>
      <c r="G99">
        <f>IF(F99="","",TEXT(F99/1440,"[h]:mm"))</f>
      </c>
    </row>
    <row r="100">
      <c r="F100">
        <f>IF(OR(D100="",E100=""),"",ROUND((E100-D100)*1440,0))</f>
      </c>
      <c r="G100">
        <f>IF(F100="","",TEXT(F100/1440,"[h]:mm"))</f>
      </c>
    </row>
    <row r="101">
      <c r="F101">
        <f>IF(OR(D101="",E101=""),"",ROUND((E101-D101)*1440,0))</f>
      </c>
      <c r="G101">
        <f>IF(F101="","",TEXT(F101/1440,"[h]:mm"))</f>
      </c>
    </row>
    <row r="102">
      <c r="F102">
        <f>IF(OR(D102="",E102=""),"",ROUND((E102-D102)*1440,0))</f>
      </c>
      <c r="G102">
        <f>IF(F102="","",TEXT(F102/1440,"[h]:mm"))</f>
      </c>
    </row>
    <row r="103">
      <c r="F103">
        <f>IF(OR(D103="",E103=""),"",ROUND((E103-D103)*1440,0))</f>
      </c>
      <c r="G103">
        <f>IF(F103="","",TEXT(F103/1440,"[h]:mm"))</f>
      </c>
    </row>
    <row r="104">
      <c r="F104">
        <f>IF(OR(D104="",E104=""),"",ROUND((E104-D104)*1440,0))</f>
      </c>
      <c r="G104">
        <f>IF(F104="","",TEXT(F104/1440,"[h]:mm"))</f>
      </c>
    </row>
    <row r="105">
      <c r="F105">
        <f>IF(OR(D105="",E105=""),"",ROUND((E105-D105)*1440,0))</f>
      </c>
      <c r="G105">
        <f>IF(F105="","",TEXT(F105/1440,"[h]:mm"))</f>
      </c>
    </row>
    <row r="106">
      <c r="F106">
        <f>IF(OR(D106="",E106=""),"",ROUND((E106-D106)*1440,0))</f>
      </c>
      <c r="G106">
        <f>IF(F106="","",TEXT(F106/1440,"[h]:mm"))</f>
      </c>
    </row>
    <row r="107">
      <c r="F107">
        <f>IF(OR(D107="",E107=""),"",ROUND((E107-D107)*1440,0))</f>
      </c>
      <c r="G107">
        <f>IF(F107="","",TEXT(F107/1440,"[h]:mm"))</f>
      </c>
    </row>
    <row r="108">
      <c r="F108">
        <f>IF(OR(D108="",E108=""),"",ROUND((E108-D108)*1440,0))</f>
      </c>
      <c r="G108">
        <f>IF(F108="","",TEXT(F108/1440,"[h]:mm"))</f>
      </c>
    </row>
    <row r="109">
      <c r="F109">
        <f>IF(OR(D109="",E109=""),"",ROUND((E109-D109)*1440,0))</f>
      </c>
      <c r="G109">
        <f>IF(F109="","",TEXT(F109/1440,"[h]:mm"))</f>
      </c>
    </row>
    <row r="110">
      <c r="F110">
        <f>IF(OR(D110="",E110=""),"",ROUND((E110-D110)*1440,0))</f>
      </c>
      <c r="G110">
        <f>IF(F110="","",TEXT(F110/1440,"[h]:mm"))</f>
      </c>
    </row>
    <row r="111">
      <c r="F111">
        <f>IF(OR(D111="",E111=""),"",ROUND((E111-D111)*1440,0))</f>
      </c>
      <c r="G111">
        <f>IF(F111="","",TEXT(F111/1440,"[h]:mm"))</f>
      </c>
    </row>
    <row r="112">
      <c r="F112">
        <f>IF(OR(D112="",E112=""),"",ROUND((E112-D112)*1440,0))</f>
      </c>
      <c r="G112">
        <f>IF(F112="","",TEXT(F112/1440,"[h]:mm"))</f>
      </c>
    </row>
    <row r="113">
      <c r="F113">
        <f>IF(OR(D113="",E113=""),"",ROUND((E113-D113)*1440,0))</f>
      </c>
      <c r="G113">
        <f>IF(F113="","",TEXT(F113/1440,"[h]:mm"))</f>
      </c>
    </row>
    <row r="114">
      <c r="F114">
        <f>IF(OR(D114="",E114=""),"",ROUND((E114-D114)*1440,0))</f>
      </c>
      <c r="G114">
        <f>IF(F114="","",TEXT(F114/1440,"[h]:mm"))</f>
      </c>
    </row>
    <row r="115">
      <c r="F115">
        <f>IF(OR(D115="",E115=""),"",ROUND((E115-D115)*1440,0))</f>
      </c>
      <c r="G115">
        <f>IF(F115="","",TEXT(F115/1440,"[h]:mm"))</f>
      </c>
    </row>
    <row r="116">
      <c r="F116">
        <f>IF(OR(D116="",E116=""),"",ROUND((E116-D116)*1440,0))</f>
      </c>
      <c r="G116">
        <f>IF(F116="","",TEXT(F116/1440,"[h]:mm"))</f>
      </c>
    </row>
    <row r="117">
      <c r="F117">
        <f>IF(OR(D117="",E117=""),"",ROUND((E117-D117)*1440,0))</f>
      </c>
      <c r="G117">
        <f>IF(F117="","",TEXT(F117/1440,"[h]:mm"))</f>
      </c>
    </row>
    <row r="118">
      <c r="F118">
        <f>IF(OR(D118="",E118=""),"",ROUND((E118-D118)*1440,0))</f>
      </c>
      <c r="G118">
        <f>IF(F118="","",TEXT(F118/1440,"[h]:mm"))</f>
      </c>
    </row>
    <row r="119">
      <c r="F119">
        <f>IF(OR(D119="",E119=""),"",ROUND((E119-D119)*1440,0))</f>
      </c>
      <c r="G119">
        <f>IF(F119="","",TEXT(F119/1440,"[h]:mm"))</f>
      </c>
    </row>
    <row r="120">
      <c r="F120">
        <f>IF(OR(D120="",E120=""),"",ROUND((E120-D120)*1440,0))</f>
      </c>
      <c r="G120">
        <f>IF(F120="","",TEXT(F120/1440,"[h]:mm"))</f>
      </c>
    </row>
    <row r="121">
      <c r="F121">
        <f>IF(OR(D121="",E121=""),"",ROUND((E121-D121)*1440,0))</f>
      </c>
      <c r="G121">
        <f>IF(F121="","",TEXT(F121/1440,"[h]:mm"))</f>
      </c>
    </row>
    <row r="122">
      <c r="F122">
        <f>IF(OR(D122="",E122=""),"",ROUND((E122-D122)*1440,0))</f>
      </c>
      <c r="G122">
        <f>IF(F122="","",TEXT(F122/1440,"[h]:mm"))</f>
      </c>
    </row>
    <row r="123">
      <c r="F123">
        <f>IF(OR(D123="",E123=""),"",ROUND((E123-D123)*1440,0))</f>
      </c>
      <c r="G123">
        <f>IF(F123="","",TEXT(F123/1440,"[h]:mm"))</f>
      </c>
    </row>
    <row r="124">
      <c r="F124">
        <f>IF(OR(D124="",E124=""),"",ROUND((E124-D124)*1440,0))</f>
      </c>
      <c r="G124">
        <f>IF(F124="","",TEXT(F124/1440,"[h]:mm"))</f>
      </c>
    </row>
    <row r="125">
      <c r="F125">
        <f>IF(OR(D125="",E125=""),"",ROUND((E125-D125)*1440,0))</f>
      </c>
      <c r="G125">
        <f>IF(F125="","",TEXT(F125/1440,"[h]:mm"))</f>
      </c>
    </row>
    <row r="126">
      <c r="F126">
        <f>IF(OR(D126="",E126=""),"",ROUND((E126-D126)*1440,0))</f>
      </c>
      <c r="G126">
        <f>IF(F126="","",TEXT(F126/1440,"[h]:mm"))</f>
      </c>
    </row>
    <row r="127">
      <c r="F127">
        <f>IF(OR(D127="",E127=""),"",ROUND((E127-D127)*1440,0))</f>
      </c>
      <c r="G127">
        <f>IF(F127="","",TEXT(F127/1440,"[h]:mm"))</f>
      </c>
    </row>
    <row r="128">
      <c r="F128">
        <f>IF(OR(D128="",E128=""),"",ROUND((E128-D128)*1440,0))</f>
      </c>
      <c r="G128">
        <f>IF(F128="","",TEXT(F128/1440,"[h]:mm"))</f>
      </c>
    </row>
    <row r="129">
      <c r="F129">
        <f>IF(OR(D129="",E129=""),"",ROUND((E129-D129)*1440,0))</f>
      </c>
      <c r="G129">
        <f>IF(F129="","",TEXT(F129/1440,"[h]:mm"))</f>
      </c>
    </row>
    <row r="130">
      <c r="F130">
        <f>IF(OR(D130="",E130=""),"",ROUND((E130-D130)*1440,0))</f>
      </c>
      <c r="G130">
        <f>IF(F130="","",TEXT(F130/1440,"[h]:mm"))</f>
      </c>
    </row>
    <row r="131">
      <c r="F131">
        <f>IF(OR(D131="",E131=""),"",ROUND((E131-D131)*1440,0))</f>
      </c>
      <c r="G131">
        <f>IF(F131="","",TEXT(F131/1440,"[h]:mm"))</f>
      </c>
    </row>
    <row r="132">
      <c r="F132">
        <f>IF(OR(D132="",E132=""),"",ROUND((E132-D132)*1440,0))</f>
      </c>
      <c r="G132">
        <f>IF(F132="","",TEXT(F132/1440,"[h]:mm"))</f>
      </c>
    </row>
    <row r="133">
      <c r="F133">
        <f>IF(OR(D133="",E133=""),"",ROUND((E133-D133)*1440,0))</f>
      </c>
      <c r="G133">
        <f>IF(F133="","",TEXT(F133/1440,"[h]:mm"))</f>
      </c>
    </row>
    <row r="134">
      <c r="F134">
        <f>IF(OR(D134="",E134=""),"",ROUND((E134-D134)*1440,0))</f>
      </c>
      <c r="G134">
        <f>IF(F134="","",TEXT(F134/1440,"[h]:mm"))</f>
      </c>
    </row>
    <row r="135">
      <c r="F135">
        <f>IF(OR(D135="",E135=""),"",ROUND((E135-D135)*1440,0))</f>
      </c>
      <c r="G135">
        <f>IF(F135="","",TEXT(F135/1440,"[h]:mm"))</f>
      </c>
    </row>
    <row r="136">
      <c r="F136">
        <f>IF(OR(D136="",E136=""),"",ROUND((E136-D136)*1440,0))</f>
      </c>
      <c r="G136">
        <f>IF(F136="","",TEXT(F136/1440,"[h]:mm"))</f>
      </c>
    </row>
    <row r="137">
      <c r="F137">
        <f>IF(OR(D137="",E137=""),"",ROUND((E137-D137)*1440,0))</f>
      </c>
      <c r="G137">
        <f>IF(F137="","",TEXT(F137/1440,"[h]:mm"))</f>
      </c>
    </row>
    <row r="138">
      <c r="F138">
        <f>IF(OR(D138="",E138=""),"",ROUND((E138-D138)*1440,0))</f>
      </c>
      <c r="G138">
        <f>IF(F138="","",TEXT(F138/1440,"[h]:mm"))</f>
      </c>
    </row>
    <row r="139">
      <c r="F139">
        <f>IF(OR(D139="",E139=""),"",ROUND((E139-D139)*1440,0))</f>
      </c>
      <c r="G139">
        <f>IF(F139="","",TEXT(F139/1440,"[h]:mm"))</f>
      </c>
    </row>
    <row r="140">
      <c r="F140">
        <f>IF(OR(D140="",E140=""),"",ROUND((E140-D140)*1440,0))</f>
      </c>
      <c r="G140">
        <f>IF(F140="","",TEXT(F140/1440,"[h]:mm"))</f>
      </c>
    </row>
    <row r="141">
      <c r="F141">
        <f>IF(OR(D141="",E141=""),"",ROUND((E141-D141)*1440,0))</f>
      </c>
      <c r="G141">
        <f>IF(F141="","",TEXT(F141/1440,"[h]:mm"))</f>
      </c>
    </row>
    <row r="142">
      <c r="F142">
        <f>IF(OR(D142="",E142=""),"",ROUND((E142-D142)*1440,0))</f>
      </c>
      <c r="G142">
        <f>IF(F142="","",TEXT(F142/1440,"[h]:mm"))</f>
      </c>
    </row>
    <row r="143">
      <c r="F143">
        <f>IF(OR(D143="",E143=""),"",ROUND((E143-D143)*1440,0))</f>
      </c>
      <c r="G143">
        <f>IF(F143="","",TEXT(F143/1440,"[h]:mm"))</f>
      </c>
    </row>
    <row r="144">
      <c r="F144">
        <f>IF(OR(D144="",E144=""),"",ROUND((E144-D144)*1440,0))</f>
      </c>
      <c r="G144">
        <f>IF(F144="","",TEXT(F144/1440,"[h]:mm"))</f>
      </c>
    </row>
    <row r="145">
      <c r="F145">
        <f>IF(OR(D145="",E145=""),"",ROUND((E145-D145)*1440,0))</f>
      </c>
      <c r="G145">
        <f>IF(F145="","",TEXT(F145/1440,"[h]:mm"))</f>
      </c>
    </row>
    <row r="146">
      <c r="F146">
        <f>IF(OR(D146="",E146=""),"",ROUND((E146-D146)*1440,0))</f>
      </c>
      <c r="G146">
        <f>IF(F146="","",TEXT(F146/1440,"[h]:mm"))</f>
      </c>
    </row>
    <row r="147">
      <c r="F147">
        <f>IF(OR(D147="",E147=""),"",ROUND((E147-D147)*1440,0))</f>
      </c>
      <c r="G147">
        <f>IF(F147="","",TEXT(F147/1440,"[h]:mm"))</f>
      </c>
    </row>
    <row r="148">
      <c r="F148">
        <f>IF(OR(D148="",E148=""),"",ROUND((E148-D148)*1440,0))</f>
      </c>
      <c r="G148">
        <f>IF(F148="","",TEXT(F148/1440,"[h]:mm"))</f>
      </c>
    </row>
    <row r="149">
      <c r="F149">
        <f>IF(OR(D149="",E149=""),"",ROUND((E149-D149)*1440,0))</f>
      </c>
      <c r="G149">
        <f>IF(F149="","",TEXT(F149/1440,"[h]:mm"))</f>
      </c>
    </row>
    <row r="150">
      <c r="F150">
        <f>IF(OR(D150="",E150=""),"",ROUND((E150-D150)*1440,0))</f>
      </c>
      <c r="G150">
        <f>IF(F150="","",TEXT(F150/1440,"[h]:mm"))</f>
      </c>
    </row>
    <row r="151">
      <c r="F151">
        <f>IF(OR(D151="",E151=""),"",ROUND((E151-D151)*1440,0))</f>
      </c>
      <c r="G151">
        <f>IF(F151="","",TEXT(F151/1440,"[h]:mm"))</f>
      </c>
    </row>
    <row r="152">
      <c r="F152">
        <f>IF(OR(D152="",E152=""),"",ROUND((E152-D152)*1440,0))</f>
      </c>
      <c r="G152">
        <f>IF(F152="","",TEXT(F152/1440,"[h]:mm"))</f>
      </c>
    </row>
    <row r="153">
      <c r="F153">
        <f>IF(OR(D153="",E153=""),"",ROUND((E153-D153)*1440,0))</f>
      </c>
      <c r="G153">
        <f>IF(F153="","",TEXT(F153/1440,"[h]:mm"))</f>
      </c>
    </row>
    <row r="154">
      <c r="F154">
        <f>IF(OR(D154="",E154=""),"",ROUND((E154-D154)*1440,0))</f>
      </c>
      <c r="G154">
        <f>IF(F154="","",TEXT(F154/1440,"[h]:mm"))</f>
      </c>
    </row>
    <row r="155">
      <c r="F155">
        <f>IF(OR(D155="",E155=""),"",ROUND((E155-D155)*1440,0))</f>
      </c>
      <c r="G155">
        <f>IF(F155="","",TEXT(F155/1440,"[h]:mm"))</f>
      </c>
    </row>
    <row r="156">
      <c r="F156">
        <f>IF(OR(D156="",E156=""),"",ROUND((E156-D156)*1440,0))</f>
      </c>
      <c r="G156">
        <f>IF(F156="","",TEXT(F156/1440,"[h]:mm"))</f>
      </c>
    </row>
    <row r="157">
      <c r="F157">
        <f>IF(OR(D157="",E157=""),"",ROUND((E157-D157)*1440,0))</f>
      </c>
      <c r="G157">
        <f>IF(F157="","",TEXT(F157/1440,"[h]:mm"))</f>
      </c>
    </row>
    <row r="158">
      <c r="F158">
        <f>IF(OR(D158="",E158=""),"",ROUND((E158-D158)*1440,0))</f>
      </c>
      <c r="G158">
        <f>IF(F158="","",TEXT(F158/1440,"[h]:mm"))</f>
      </c>
    </row>
    <row r="159">
      <c r="F159">
        <f>IF(OR(D159="",E159=""),"",ROUND((E159-D159)*1440,0))</f>
      </c>
      <c r="G159">
        <f>IF(F159="","",TEXT(F159/1440,"[h]:mm"))</f>
      </c>
    </row>
    <row r="160">
      <c r="F160">
        <f>IF(OR(D160="",E160=""),"",ROUND((E160-D160)*1440,0))</f>
      </c>
      <c r="G160">
        <f>IF(F160="","",TEXT(F160/1440,"[h]:mm"))</f>
      </c>
    </row>
    <row r="161">
      <c r="F161">
        <f>IF(OR(D161="",E161=""),"",ROUND((E161-D161)*1440,0))</f>
      </c>
      <c r="G161">
        <f>IF(F161="","",TEXT(F161/1440,"[h]:mm"))</f>
      </c>
    </row>
    <row r="162">
      <c r="F162">
        <f>IF(OR(D162="",E162=""),"",ROUND((E162-D162)*1440,0))</f>
      </c>
      <c r="G162">
        <f>IF(F162="","",TEXT(F162/1440,"[h]:mm"))</f>
      </c>
    </row>
    <row r="163">
      <c r="F163">
        <f>IF(OR(D163="",E163=""),"",ROUND((E163-D163)*1440,0))</f>
      </c>
      <c r="G163">
        <f>IF(F163="","",TEXT(F163/1440,"[h]:mm"))</f>
      </c>
    </row>
    <row r="164">
      <c r="F164">
        <f>IF(OR(D164="",E164=""),"",ROUND((E164-D164)*1440,0))</f>
      </c>
      <c r="G164">
        <f>IF(F164="","",TEXT(F164/1440,"[h]:mm"))</f>
      </c>
    </row>
    <row r="165">
      <c r="F165">
        <f>IF(OR(D165="",E165=""),"",ROUND((E165-D165)*1440,0))</f>
      </c>
      <c r="G165">
        <f>IF(F165="","",TEXT(F165/1440,"[h]:mm"))</f>
      </c>
    </row>
    <row r="166">
      <c r="F166">
        <f>IF(OR(D166="",E166=""),"",ROUND((E166-D166)*1440,0))</f>
      </c>
      <c r="G166">
        <f>IF(F166="","",TEXT(F166/1440,"[h]:mm"))</f>
      </c>
    </row>
    <row r="167">
      <c r="F167">
        <f>IF(OR(D167="",E167=""),"",ROUND((E167-D167)*1440,0))</f>
      </c>
      <c r="G167">
        <f>IF(F167="","",TEXT(F167/1440,"[h]:mm"))</f>
      </c>
    </row>
    <row r="168">
      <c r="F168">
        <f>IF(OR(D168="",E168=""),"",ROUND((E168-D168)*1440,0))</f>
      </c>
      <c r="G168">
        <f>IF(F168="","",TEXT(F168/1440,"[h]:mm"))</f>
      </c>
    </row>
    <row r="169">
      <c r="F169">
        <f>IF(OR(D169="",E169=""),"",ROUND((E169-D169)*1440,0))</f>
      </c>
      <c r="G169">
        <f>IF(F169="","",TEXT(F169/1440,"[h]:mm"))</f>
      </c>
    </row>
    <row r="170">
      <c r="F170">
        <f>IF(OR(D170="",E170=""),"",ROUND((E170-D170)*1440,0))</f>
      </c>
      <c r="G170">
        <f>IF(F170="","",TEXT(F170/1440,"[h]:mm"))</f>
      </c>
    </row>
    <row r="171">
      <c r="F171">
        <f>IF(OR(D171="",E171=""),"",ROUND((E171-D171)*1440,0))</f>
      </c>
      <c r="G171">
        <f>IF(F171="","",TEXT(F171/1440,"[h]:mm"))</f>
      </c>
    </row>
    <row r="172">
      <c r="F172">
        <f>IF(OR(D172="",E172=""),"",ROUND((E172-D172)*1440,0))</f>
      </c>
      <c r="G172">
        <f>IF(F172="","",TEXT(F172/1440,"[h]:mm"))</f>
      </c>
    </row>
    <row r="173">
      <c r="F173">
        <f>IF(OR(D173="",E173=""),"",ROUND((E173-D173)*1440,0))</f>
      </c>
      <c r="G173">
        <f>IF(F173="","",TEXT(F173/1440,"[h]:mm"))</f>
      </c>
    </row>
    <row r="174">
      <c r="F174">
        <f>IF(OR(D174="",E174=""),"",ROUND((E174-D174)*1440,0))</f>
      </c>
      <c r="G174">
        <f>IF(F174="","",TEXT(F174/1440,"[h]:mm"))</f>
      </c>
    </row>
    <row r="175">
      <c r="F175">
        <f>IF(OR(D175="",E175=""),"",ROUND((E175-D175)*1440,0))</f>
      </c>
      <c r="G175">
        <f>IF(F175="","",TEXT(F175/1440,"[h]:mm"))</f>
      </c>
    </row>
    <row r="176">
      <c r="F176">
        <f>IF(OR(D176="",E176=""),"",ROUND((E176-D176)*1440,0))</f>
      </c>
      <c r="G176">
        <f>IF(F176="","",TEXT(F176/1440,"[h]:mm"))</f>
      </c>
    </row>
    <row r="177">
      <c r="F177">
        <f>IF(OR(D177="",E177=""),"",ROUND((E177-D177)*1440,0))</f>
      </c>
      <c r="G177">
        <f>IF(F177="","",TEXT(F177/1440,"[h]:mm"))</f>
      </c>
    </row>
    <row r="178">
      <c r="F178">
        <f>IF(OR(D178="",E178=""),"",ROUND((E178-D178)*1440,0))</f>
      </c>
      <c r="G178">
        <f>IF(F178="","",TEXT(F178/1440,"[h]:mm"))</f>
      </c>
    </row>
    <row r="179">
      <c r="F179">
        <f>IF(OR(D179="",E179=""),"",ROUND((E179-D179)*1440,0))</f>
      </c>
      <c r="G179">
        <f>IF(F179="","",TEXT(F179/1440,"[h]:mm"))</f>
      </c>
    </row>
    <row r="180">
      <c r="F180">
        <f>IF(OR(D180="",E180=""),"",ROUND((E180-D180)*1440,0))</f>
      </c>
      <c r="G180">
        <f>IF(F180="","",TEXT(F180/1440,"[h]:mm"))</f>
      </c>
    </row>
    <row r="181">
      <c r="F181">
        <f>IF(OR(D181="",E181=""),"",ROUND((E181-D181)*1440,0))</f>
      </c>
      <c r="G181">
        <f>IF(F181="","",TEXT(F181/1440,"[h]:mm"))</f>
      </c>
    </row>
    <row r="182">
      <c r="F182">
        <f>IF(OR(D182="",E182=""),"",ROUND((E182-D182)*1440,0))</f>
      </c>
      <c r="G182">
        <f>IF(F182="","",TEXT(F182/1440,"[h]:mm"))</f>
      </c>
    </row>
    <row r="183">
      <c r="F183">
        <f>IF(OR(D183="",E183=""),"",ROUND((E183-D183)*1440,0))</f>
      </c>
      <c r="G183">
        <f>IF(F183="","",TEXT(F183/1440,"[h]:mm"))</f>
      </c>
    </row>
    <row r="184">
      <c r="F184">
        <f>IF(OR(D184="",E184=""),"",ROUND((E184-D184)*1440,0))</f>
      </c>
      <c r="G184">
        <f>IF(F184="","",TEXT(F184/1440,"[h]:mm"))</f>
      </c>
    </row>
    <row r="185">
      <c r="F185">
        <f>IF(OR(D185="",E185=""),"",ROUND((E185-D185)*1440,0))</f>
      </c>
      <c r="G185">
        <f>IF(F185="","",TEXT(F185/1440,"[h]:mm"))</f>
      </c>
    </row>
    <row r="186">
      <c r="F186">
        <f>IF(OR(D186="",E186=""),"",ROUND((E186-D186)*1440,0))</f>
      </c>
      <c r="G186">
        <f>IF(F186="","",TEXT(F186/1440,"[h]:mm"))</f>
      </c>
    </row>
    <row r="187">
      <c r="F187">
        <f>IF(OR(D187="",E187=""),"",ROUND((E187-D187)*1440,0))</f>
      </c>
      <c r="G187">
        <f>IF(F187="","",TEXT(F187/1440,"[h]:mm"))</f>
      </c>
    </row>
    <row r="188">
      <c r="F188">
        <f>IF(OR(D188="",E188=""),"",ROUND((E188-D188)*1440,0))</f>
      </c>
      <c r="G188">
        <f>IF(F188="","",TEXT(F188/1440,"[h]:mm"))</f>
      </c>
    </row>
    <row r="189">
      <c r="F189">
        <f>IF(OR(D189="",E189=""),"",ROUND((E189-D189)*1440,0))</f>
      </c>
      <c r="G189">
        <f>IF(F189="","",TEXT(F189/1440,"[h]:mm"))</f>
      </c>
    </row>
    <row r="190">
      <c r="F190">
        <f>IF(OR(D190="",E190=""),"",ROUND((E190-D190)*1440,0))</f>
      </c>
      <c r="G190">
        <f>IF(F190="","",TEXT(F190/1440,"[h]:mm"))</f>
      </c>
    </row>
    <row r="191">
      <c r="F191">
        <f>IF(OR(D191="",E191=""),"",ROUND((E191-D191)*1440,0))</f>
      </c>
      <c r="G191">
        <f>IF(F191="","",TEXT(F191/1440,"[h]:mm"))</f>
      </c>
    </row>
    <row r="192">
      <c r="F192">
        <f>IF(OR(D192="",E192=""),"",ROUND((E192-D192)*1440,0))</f>
      </c>
      <c r="G192">
        <f>IF(F192="","",TEXT(F192/1440,"[h]:mm"))</f>
      </c>
    </row>
    <row r="193">
      <c r="F193">
        <f>IF(OR(D193="",E193=""),"",ROUND((E193-D193)*1440,0))</f>
      </c>
      <c r="G193">
        <f>IF(F193="","",TEXT(F193/1440,"[h]:mm"))</f>
      </c>
    </row>
    <row r="194">
      <c r="F194">
        <f>IF(OR(D194="",E194=""),"",ROUND((E194-D194)*1440,0))</f>
      </c>
      <c r="G194">
        <f>IF(F194="","",TEXT(F194/1440,"[h]:mm"))</f>
      </c>
    </row>
    <row r="195">
      <c r="F195">
        <f>IF(OR(D195="",E195=""),"",ROUND((E195-D195)*1440,0))</f>
      </c>
      <c r="G195">
        <f>IF(F195="","",TEXT(F195/1440,"[h]:mm"))</f>
      </c>
    </row>
    <row r="196">
      <c r="F196">
        <f>IF(OR(D196="",E196=""),"",ROUND((E196-D196)*1440,0))</f>
      </c>
      <c r="G196">
        <f>IF(F196="","",TEXT(F196/1440,"[h]:mm"))</f>
      </c>
    </row>
    <row r="197">
      <c r="F197">
        <f>IF(OR(D197="",E197=""),"",ROUND((E197-D197)*1440,0))</f>
      </c>
      <c r="G197">
        <f>IF(F197="","",TEXT(F197/1440,"[h]:mm"))</f>
      </c>
    </row>
    <row r="198">
      <c r="F198">
        <f>IF(OR(D198="",E198=""),"",ROUND((E198-D198)*1440,0))</f>
      </c>
      <c r="G198">
        <f>IF(F198="","",TEXT(F198/1440,"[h]:mm"))</f>
      </c>
    </row>
    <row r="199">
      <c r="F199">
        <f>IF(OR(D199="",E199=""),"",ROUND((E199-D199)*1440,0))</f>
      </c>
      <c r="G199">
        <f>IF(F199="","",TEXT(F199/1440,"[h]:mm"))</f>
      </c>
    </row>
    <row r="200">
      <c r="F200">
        <f>IF(OR(D200="",E200=""),"",ROUND((E200-D200)*1440,0))</f>
      </c>
      <c r="G200">
        <f>IF(F200="","",TEXT(F200/1440,"[h]:mm"))</f>
      </c>
    </row>
    <row r="201">
      <c r="F201">
        <f>IF(OR(D201="",E201=""),"",ROUND((E201-D201)*1440,0))</f>
      </c>
      <c r="G201">
        <f>IF(F201="","",TEXT(F201/1440,"[h]:mm"))</f>
      </c>
    </row>
    <row r="202">
      <c r="F202">
        <f>IF(OR(D202="",E202=""),"",ROUND((E202-D202)*1440,0))</f>
      </c>
      <c r="G202">
        <f>IF(F202="","",TEXT(F202/1440,"[h]:mm"))</f>
      </c>
    </row>
    <row r="203">
      <c r="F203">
        <f>IF(OR(D203="",E203=""),"",ROUND((E203-D203)*1440,0))</f>
      </c>
      <c r="G203">
        <f>IF(F203="","",TEXT(F203/1440,"[h]:mm"))</f>
      </c>
    </row>
    <row r="204">
      <c r="F204">
        <f>IF(OR(D204="",E204=""),"",ROUND((E204-D204)*1440,0))</f>
      </c>
      <c r="G204">
        <f>IF(F204="","",TEXT(F204/1440,"[h]:mm"))</f>
      </c>
    </row>
    <row r="205">
      <c r="F205">
        <f>IF(OR(D205="",E205=""),"",ROUND((E205-D205)*1440,0))</f>
      </c>
      <c r="G205">
        <f>IF(F205="","",TEXT(F205/1440,"[h]:mm"))</f>
      </c>
    </row>
    <row r="206">
      <c r="F206">
        <f>IF(OR(D206="",E206=""),"",ROUND((E206-D206)*1440,0))</f>
      </c>
      <c r="G206">
        <f>IF(F206="","",TEXT(F206/1440,"[h]:mm"))</f>
      </c>
    </row>
    <row r="207">
      <c r="F207">
        <f>IF(OR(D207="",E207=""),"",ROUND((E207-D207)*1440,0))</f>
      </c>
      <c r="G207">
        <f>IF(F207="","",TEXT(F207/1440,"[h]:mm"))</f>
      </c>
    </row>
    <row r="208">
      <c r="F208">
        <f>IF(OR(D208="",E208=""),"",ROUND((E208-D208)*1440,0))</f>
      </c>
      <c r="G208">
        <f>IF(F208="","",TEXT(F208/1440,"[h]:mm"))</f>
      </c>
    </row>
    <row r="209">
      <c r="F209">
        <f>IF(OR(D209="",E209=""),"",ROUND((E209-D209)*1440,0))</f>
      </c>
      <c r="G209">
        <f>IF(F209="","",TEXT(F209/1440,"[h]:mm"))</f>
      </c>
    </row>
    <row r="210">
      <c r="F210">
        <f>IF(OR(D210="",E210=""),"",ROUND((E210-D210)*1440,0))</f>
      </c>
      <c r="G210">
        <f>IF(F210="","",TEXT(F210/1440,"[h]:mm"))</f>
      </c>
    </row>
    <row r="211">
      <c r="F211">
        <f>IF(OR(D211="",E211=""),"",ROUND((E211-D211)*1440,0))</f>
      </c>
      <c r="G211">
        <f>IF(F211="","",TEXT(F211/1440,"[h]:mm"))</f>
      </c>
    </row>
    <row r="212">
      <c r="F212">
        <f>IF(OR(D212="",E212=""),"",ROUND((E212-D212)*1440,0))</f>
      </c>
      <c r="G212">
        <f>IF(F212="","",TEXT(F212/1440,"[h]:mm"))</f>
      </c>
    </row>
    <row r="213">
      <c r="F213">
        <f>IF(OR(D213="",E213=""),"",ROUND((E213-D213)*1440,0))</f>
      </c>
      <c r="G213">
        <f>IF(F213="","",TEXT(F213/1440,"[h]:mm"))</f>
      </c>
    </row>
    <row r="214">
      <c r="F214">
        <f>IF(OR(D214="",E214=""),"",ROUND((E214-D214)*1440,0))</f>
      </c>
      <c r="G214">
        <f>IF(F214="","",TEXT(F214/1440,"[h]:mm"))</f>
      </c>
    </row>
    <row r="215">
      <c r="F215">
        <f>IF(OR(D215="",E215=""),"",ROUND((E215-D215)*1440,0))</f>
      </c>
      <c r="G215">
        <f>IF(F215="","",TEXT(F215/1440,"[h]:mm"))</f>
      </c>
    </row>
    <row r="216">
      <c r="F216">
        <f>IF(OR(D216="",E216=""),"",ROUND((E216-D216)*1440,0))</f>
      </c>
      <c r="G216">
        <f>IF(F216="","",TEXT(F216/1440,"[h]:mm"))</f>
      </c>
    </row>
    <row r="217">
      <c r="F217">
        <f>IF(OR(D217="",E217=""),"",ROUND((E217-D217)*1440,0))</f>
      </c>
      <c r="G217">
        <f>IF(F217="","",TEXT(F217/1440,"[h]:mm"))</f>
      </c>
    </row>
    <row r="218">
      <c r="F218">
        <f>IF(OR(D218="",E218=""),"",ROUND((E218-D218)*1440,0))</f>
      </c>
      <c r="G218">
        <f>IF(F218="","",TEXT(F218/1440,"[h]:mm"))</f>
      </c>
    </row>
    <row r="219">
      <c r="F219">
        <f>IF(OR(D219="",E219=""),"",ROUND((E219-D219)*1440,0))</f>
      </c>
      <c r="G219">
        <f>IF(F219="","",TEXT(F219/1440,"[h]:mm"))</f>
      </c>
    </row>
    <row r="220">
      <c r="F220">
        <f>IF(OR(D220="",E220=""),"",ROUND((E220-D220)*1440,0))</f>
      </c>
      <c r="G220">
        <f>IF(F220="","",TEXT(F220/1440,"[h]:mm"))</f>
      </c>
    </row>
    <row r="221">
      <c r="F221">
        <f>IF(OR(D221="",E221=""),"",ROUND((E221-D221)*1440,0))</f>
      </c>
      <c r="G221">
        <f>IF(F221="","",TEXT(F221/1440,"[h]:mm"))</f>
      </c>
    </row>
    <row r="222">
      <c r="F222">
        <f>IF(OR(D222="",E222=""),"",ROUND((E222-D222)*1440,0))</f>
      </c>
      <c r="G222">
        <f>IF(F222="","",TEXT(F222/1440,"[h]:mm"))</f>
      </c>
    </row>
    <row r="223">
      <c r="F223">
        <f>IF(OR(D223="",E223=""),"",ROUND((E223-D223)*1440,0))</f>
      </c>
      <c r="G223">
        <f>IF(F223="","",TEXT(F223/1440,"[h]:mm"))</f>
      </c>
    </row>
    <row r="224">
      <c r="F224">
        <f>IF(OR(D224="",E224=""),"",ROUND((E224-D224)*1440,0))</f>
      </c>
      <c r="G224">
        <f>IF(F224="","",TEXT(F224/1440,"[h]:mm"))</f>
      </c>
    </row>
    <row r="225">
      <c r="F225">
        <f>IF(OR(D225="",E225=""),"",ROUND((E225-D225)*1440,0))</f>
      </c>
      <c r="G225">
        <f>IF(F225="","",TEXT(F225/1440,"[h]:mm"))</f>
      </c>
    </row>
    <row r="226">
      <c r="F226">
        <f>IF(OR(D226="",E226=""),"",ROUND((E226-D226)*1440,0))</f>
      </c>
      <c r="G226">
        <f>IF(F226="","",TEXT(F226/1440,"[h]:mm"))</f>
      </c>
    </row>
    <row r="227">
      <c r="F227">
        <f>IF(OR(D227="",E227=""),"",ROUND((E227-D227)*1440,0))</f>
      </c>
      <c r="G227">
        <f>IF(F227="","",TEXT(F227/1440,"[h]:mm"))</f>
      </c>
    </row>
    <row r="228">
      <c r="F228">
        <f>IF(OR(D228="",E228=""),"",ROUND((E228-D228)*1440,0))</f>
      </c>
      <c r="G228">
        <f>IF(F228="","",TEXT(F228/1440,"[h]:mm"))</f>
      </c>
    </row>
    <row r="229">
      <c r="F229">
        <f>IF(OR(D229="",E229=""),"",ROUND((E229-D229)*1440,0))</f>
      </c>
      <c r="G229">
        <f>IF(F229="","",TEXT(F229/1440,"[h]:mm"))</f>
      </c>
    </row>
    <row r="230">
      <c r="F230">
        <f>IF(OR(D230="",E230=""),"",ROUND((E230-D230)*1440,0))</f>
      </c>
      <c r="G230">
        <f>IF(F230="","",TEXT(F230/1440,"[h]:mm"))</f>
      </c>
    </row>
    <row r="231">
      <c r="F231">
        <f>IF(OR(D231="",E231=""),"",ROUND((E231-D231)*1440,0))</f>
      </c>
      <c r="G231">
        <f>IF(F231="","",TEXT(F231/1440,"[h]:mm"))</f>
      </c>
    </row>
    <row r="232">
      <c r="F232">
        <f>IF(OR(D232="",E232=""),"",ROUND((E232-D232)*1440,0))</f>
      </c>
      <c r="G232">
        <f>IF(F232="","",TEXT(F232/1440,"[h]:mm"))</f>
      </c>
    </row>
    <row r="233">
      <c r="F233">
        <f>IF(OR(D233="",E233=""),"",ROUND((E233-D233)*1440,0))</f>
      </c>
      <c r="G233">
        <f>IF(F233="","",TEXT(F233/1440,"[h]:mm"))</f>
      </c>
    </row>
    <row r="234">
      <c r="F234">
        <f>IF(OR(D234="",E234=""),"",ROUND((E234-D234)*1440,0))</f>
      </c>
      <c r="G234">
        <f>IF(F234="","",TEXT(F234/1440,"[h]:mm"))</f>
      </c>
    </row>
    <row r="235">
      <c r="F235">
        <f>IF(OR(D235="",E235=""),"",ROUND((E235-D235)*1440,0))</f>
      </c>
      <c r="G235">
        <f>IF(F235="","",TEXT(F235/1440,"[h]:mm"))</f>
      </c>
    </row>
    <row r="236">
      <c r="F236">
        <f>IF(OR(D236="",E236=""),"",ROUND((E236-D236)*1440,0))</f>
      </c>
      <c r="G236">
        <f>IF(F236="","",TEXT(F236/1440,"[h]:mm"))</f>
      </c>
    </row>
    <row r="237">
      <c r="F237">
        <f>IF(OR(D237="",E237=""),"",ROUND((E237-D237)*1440,0))</f>
      </c>
      <c r="G237">
        <f>IF(F237="","",TEXT(F237/1440,"[h]:mm"))</f>
      </c>
    </row>
    <row r="238">
      <c r="F238">
        <f>IF(OR(D238="",E238=""),"",ROUND((E238-D238)*1440,0))</f>
      </c>
      <c r="G238">
        <f>IF(F238="","",TEXT(F238/1440,"[h]:mm"))</f>
      </c>
    </row>
    <row r="239">
      <c r="F239">
        <f>IF(OR(D239="",E239=""),"",ROUND((E239-D239)*1440,0))</f>
      </c>
      <c r="G239">
        <f>IF(F239="","",TEXT(F239/1440,"[h]:mm"))</f>
      </c>
    </row>
    <row r="240">
      <c r="F240">
        <f>IF(OR(D240="",E240=""),"",ROUND((E240-D240)*1440,0))</f>
      </c>
      <c r="G240">
        <f>IF(F240="","",TEXT(F240/1440,"[h]:mm"))</f>
      </c>
    </row>
    <row r="241">
      <c r="F241">
        <f>IF(OR(D241="",E241=""),"",ROUND((E241-D241)*1440,0))</f>
      </c>
      <c r="G241">
        <f>IF(F241="","",TEXT(F241/1440,"[h]:mm"))</f>
      </c>
    </row>
    <row r="242">
      <c r="F242">
        <f>IF(OR(D242="",E242=""),"",ROUND((E242-D242)*1440,0))</f>
      </c>
      <c r="G242">
        <f>IF(F242="","",TEXT(F242/1440,"[h]:mm"))</f>
      </c>
    </row>
    <row r="243">
      <c r="F243">
        <f>IF(OR(D243="",E243=""),"",ROUND((E243-D243)*1440,0))</f>
      </c>
      <c r="G243">
        <f>IF(F243="","",TEXT(F243/1440,"[h]:mm"))</f>
      </c>
    </row>
    <row r="244">
      <c r="F244">
        <f>IF(OR(D244="",E244=""),"",ROUND((E244-D244)*1440,0))</f>
      </c>
      <c r="G244">
        <f>IF(F244="","",TEXT(F244/1440,"[h]:mm"))</f>
      </c>
    </row>
    <row r="245">
      <c r="F245">
        <f>IF(OR(D245="",E245=""),"",ROUND((E245-D245)*1440,0))</f>
      </c>
      <c r="G245">
        <f>IF(F245="","",TEXT(F245/1440,"[h]:mm"))</f>
      </c>
    </row>
    <row r="246">
      <c r="F246">
        <f>IF(OR(D246="",E246=""),"",ROUND((E246-D246)*1440,0))</f>
      </c>
      <c r="G246">
        <f>IF(F246="","",TEXT(F246/1440,"[h]:mm"))</f>
      </c>
    </row>
    <row r="247">
      <c r="F247">
        <f>IF(OR(D247="",E247=""),"",ROUND((E247-D247)*1440,0))</f>
      </c>
      <c r="G247">
        <f>IF(F247="","",TEXT(F247/1440,"[h]:mm"))</f>
      </c>
    </row>
    <row r="248">
      <c r="F248">
        <f>IF(OR(D248="",E248=""),"",ROUND((E248-D248)*1440,0))</f>
      </c>
      <c r="G248">
        <f>IF(F248="","",TEXT(F248/1440,"[h]:mm"))</f>
      </c>
    </row>
    <row r="249">
      <c r="F249">
        <f>IF(OR(D249="",E249=""),"",ROUND((E249-D249)*1440,0))</f>
      </c>
      <c r="G249">
        <f>IF(F249="","",TEXT(F249/1440,"[h]:mm"))</f>
      </c>
    </row>
    <row r="250">
      <c r="F250">
        <f>IF(OR(D250="",E250=""),"",ROUND((E250-D250)*1440,0))</f>
      </c>
      <c r="G250">
        <f>IF(F250="","",TEXT(F250/1440,"[h]:mm"))</f>
      </c>
    </row>
    <row r="251">
      <c r="F251">
        <f>IF(OR(D251="",E251=""),"",ROUND((E251-D251)*1440,0))</f>
      </c>
      <c r="G251">
        <f>IF(F251="","",TEXT(F251/1440,"[h]:mm"))</f>
      </c>
    </row>
    <row r="252">
      <c r="F252">
        <f>IF(OR(D252="",E252=""),"",ROUND((E252-D252)*1440,0))</f>
      </c>
      <c r="G252">
        <f>IF(F252="","",TEXT(F252/1440,"[h]:mm"))</f>
      </c>
    </row>
    <row r="253">
      <c r="F253">
        <f>IF(OR(D253="",E253=""),"",ROUND((E253-D253)*1440,0))</f>
      </c>
      <c r="G253">
        <f>IF(F253="","",TEXT(F253/1440,"[h]:mm"))</f>
      </c>
    </row>
    <row r="254">
      <c r="F254">
        <f>IF(OR(D254="",E254=""),"",ROUND((E254-D254)*1440,0))</f>
      </c>
      <c r="G254">
        <f>IF(F254="","",TEXT(F254/1440,"[h]:mm"))</f>
      </c>
    </row>
    <row r="255">
      <c r="F255">
        <f>IF(OR(D255="",E255=""),"",ROUND((E255-D255)*1440,0))</f>
      </c>
      <c r="G255">
        <f>IF(F255="","",TEXT(F255/1440,"[h]:mm"))</f>
      </c>
    </row>
    <row r="256">
      <c r="F256">
        <f>IF(OR(D256="",E256=""),"",ROUND((E256-D256)*1440,0))</f>
      </c>
      <c r="G256">
        <f>IF(F256="","",TEXT(F256/1440,"[h]:mm"))</f>
      </c>
    </row>
    <row r="257">
      <c r="F257">
        <f>IF(OR(D257="",E257=""),"",ROUND((E257-D257)*1440,0))</f>
      </c>
      <c r="G257">
        <f>IF(F257="","",TEXT(F257/1440,"[h]:mm"))</f>
      </c>
    </row>
    <row r="258">
      <c r="F258">
        <f>IF(OR(D258="",E258=""),"",ROUND((E258-D258)*1440,0))</f>
      </c>
      <c r="G258">
        <f>IF(F258="","",TEXT(F258/1440,"[h]:mm"))</f>
      </c>
    </row>
    <row r="259">
      <c r="F259">
        <f>IF(OR(D259="",E259=""),"",ROUND((E259-D259)*1440,0))</f>
      </c>
      <c r="G259">
        <f>IF(F259="","",TEXT(F259/1440,"[h]:mm"))</f>
      </c>
    </row>
    <row r="260">
      <c r="F260">
        <f>IF(OR(D260="",E260=""),"",ROUND((E260-D260)*1440,0))</f>
      </c>
      <c r="G260">
        <f>IF(F260="","",TEXT(F260/1440,"[h]:mm"))</f>
      </c>
    </row>
    <row r="261">
      <c r="F261">
        <f>IF(OR(D261="",E261=""),"",ROUND((E261-D261)*1440,0))</f>
      </c>
      <c r="G261">
        <f>IF(F261="","",TEXT(F261/1440,"[h]:mm"))</f>
      </c>
    </row>
    <row r="262">
      <c r="F262">
        <f>IF(OR(D262="",E262=""),"",ROUND((E262-D262)*1440,0))</f>
      </c>
      <c r="G262">
        <f>IF(F262="","",TEXT(F262/1440,"[h]:mm"))</f>
      </c>
    </row>
    <row r="263">
      <c r="F263">
        <f>IF(OR(D263="",E263=""),"",ROUND((E263-D263)*1440,0))</f>
      </c>
      <c r="G263">
        <f>IF(F263="","",TEXT(F263/1440,"[h]:mm"))</f>
      </c>
    </row>
    <row r="264">
      <c r="F264">
        <f>IF(OR(D264="",E264=""),"",ROUND((E264-D264)*1440,0))</f>
      </c>
      <c r="G264">
        <f>IF(F264="","",TEXT(F264/1440,"[h]:mm"))</f>
      </c>
    </row>
    <row r="265">
      <c r="F265">
        <f>IF(OR(D265="",E265=""),"",ROUND((E265-D265)*1440,0))</f>
      </c>
      <c r="G265">
        <f>IF(F265="","",TEXT(F265/1440,"[h]:mm"))</f>
      </c>
    </row>
    <row r="266">
      <c r="F266">
        <f>IF(OR(D266="",E266=""),"",ROUND((E266-D266)*1440,0))</f>
      </c>
      <c r="G266">
        <f>IF(F266="","",TEXT(F266/1440,"[h]:mm"))</f>
      </c>
    </row>
    <row r="267">
      <c r="F267">
        <f>IF(OR(D267="",E267=""),"",ROUND((E267-D267)*1440,0))</f>
      </c>
      <c r="G267">
        <f>IF(F267="","",TEXT(F267/1440,"[h]:mm"))</f>
      </c>
    </row>
    <row r="268">
      <c r="F268">
        <f>IF(OR(D268="",E268=""),"",ROUND((E268-D268)*1440,0))</f>
      </c>
      <c r="G268">
        <f>IF(F268="","",TEXT(F268/1440,"[h]:mm"))</f>
      </c>
    </row>
    <row r="269">
      <c r="F269">
        <f>IF(OR(D269="",E269=""),"",ROUND((E269-D269)*1440,0))</f>
      </c>
      <c r="G269">
        <f>IF(F269="","",TEXT(F269/1440,"[h]:mm"))</f>
      </c>
    </row>
    <row r="270">
      <c r="F270">
        <f>IF(OR(D270="",E270=""),"",ROUND((E270-D270)*1440,0))</f>
      </c>
      <c r="G270">
        <f>IF(F270="","",TEXT(F270/1440,"[h]:mm"))</f>
      </c>
    </row>
    <row r="271">
      <c r="F271">
        <f>IF(OR(D271="",E271=""),"",ROUND((E271-D271)*1440,0))</f>
      </c>
      <c r="G271">
        <f>IF(F271="","",TEXT(F271/1440,"[h]:mm"))</f>
      </c>
    </row>
    <row r="272">
      <c r="F272">
        <f>IF(OR(D272="",E272=""),"",ROUND((E272-D272)*1440,0))</f>
      </c>
      <c r="G272">
        <f>IF(F272="","",TEXT(F272/1440,"[h]:mm"))</f>
      </c>
    </row>
    <row r="273">
      <c r="F273">
        <f>IF(OR(D273="",E273=""),"",ROUND((E273-D273)*1440,0))</f>
      </c>
      <c r="G273">
        <f>IF(F273="","",TEXT(F273/1440,"[h]:mm"))</f>
      </c>
    </row>
    <row r="274">
      <c r="F274">
        <f>IF(OR(D274="",E274=""),"",ROUND((E274-D274)*1440,0))</f>
      </c>
      <c r="G274">
        <f>IF(F274="","",TEXT(F274/1440,"[h]:mm"))</f>
      </c>
    </row>
    <row r="275">
      <c r="F275">
        <f>IF(OR(D275="",E275=""),"",ROUND((E275-D275)*1440,0))</f>
      </c>
      <c r="G275">
        <f>IF(F275="","",TEXT(F275/1440,"[h]:mm"))</f>
      </c>
    </row>
    <row r="276">
      <c r="F276">
        <f>IF(OR(D276="",E276=""),"",ROUND((E276-D276)*1440,0))</f>
      </c>
      <c r="G276">
        <f>IF(F276="","",TEXT(F276/1440,"[h]:mm"))</f>
      </c>
    </row>
    <row r="277">
      <c r="F277">
        <f>IF(OR(D277="",E277=""),"",ROUND((E277-D277)*1440,0))</f>
      </c>
      <c r="G277">
        <f>IF(F277="","",TEXT(F277/1440,"[h]:mm"))</f>
      </c>
    </row>
    <row r="278">
      <c r="F278">
        <f>IF(OR(D278="",E278=""),"",ROUND((E278-D278)*1440,0))</f>
      </c>
      <c r="G278">
        <f>IF(F278="","",TEXT(F278/1440,"[h]:mm"))</f>
      </c>
    </row>
    <row r="279">
      <c r="F279">
        <f>IF(OR(D279="",E279=""),"",ROUND((E279-D279)*1440,0))</f>
      </c>
      <c r="G279">
        <f>IF(F279="","",TEXT(F279/1440,"[h]:mm"))</f>
      </c>
    </row>
    <row r="280">
      <c r="F280">
        <f>IF(OR(D280="",E280=""),"",ROUND((E280-D280)*1440,0))</f>
      </c>
      <c r="G280">
        <f>IF(F280="","",TEXT(F280/1440,"[h]:mm"))</f>
      </c>
    </row>
    <row r="281">
      <c r="F281">
        <f>IF(OR(D281="",E281=""),"",ROUND((E281-D281)*1440,0))</f>
      </c>
      <c r="G281">
        <f>IF(F281="","",TEXT(F281/1440,"[h]:mm"))</f>
      </c>
    </row>
    <row r="282">
      <c r="F282">
        <f>IF(OR(D282="",E282=""),"",ROUND((E282-D282)*1440,0))</f>
      </c>
      <c r="G282">
        <f>IF(F282="","",TEXT(F282/1440,"[h]:mm"))</f>
      </c>
    </row>
    <row r="283">
      <c r="F283">
        <f>IF(OR(D283="",E283=""),"",ROUND((E283-D283)*1440,0))</f>
      </c>
      <c r="G283">
        <f>IF(F283="","",TEXT(F283/1440,"[h]:mm"))</f>
      </c>
    </row>
    <row r="284">
      <c r="F284">
        <f>IF(OR(D284="",E284=""),"",ROUND((E284-D284)*1440,0))</f>
      </c>
      <c r="G284">
        <f>IF(F284="","",TEXT(F284/1440,"[h]:mm"))</f>
      </c>
    </row>
    <row r="285">
      <c r="F285">
        <f>IF(OR(D285="",E285=""),"",ROUND((E285-D285)*1440,0))</f>
      </c>
      <c r="G285">
        <f>IF(F285="","",TEXT(F285/1440,"[h]:mm"))</f>
      </c>
    </row>
    <row r="286">
      <c r="F286">
        <f>IF(OR(D286="",E286=""),"",ROUND((E286-D286)*1440,0))</f>
      </c>
      <c r="G286">
        <f>IF(F286="","",TEXT(F286/1440,"[h]:mm"))</f>
      </c>
    </row>
    <row r="287">
      <c r="F287">
        <f>IF(OR(D287="",E287=""),"",ROUND((E287-D287)*1440,0))</f>
      </c>
      <c r="G287">
        <f>IF(F287="","",TEXT(F287/1440,"[h]:mm"))</f>
      </c>
    </row>
    <row r="288">
      <c r="F288">
        <f>IF(OR(D288="",E288=""),"",ROUND((E288-D288)*1440,0))</f>
      </c>
      <c r="G288">
        <f>IF(F288="","",TEXT(F288/1440,"[h]:mm"))</f>
      </c>
    </row>
    <row r="289">
      <c r="F289">
        <f>IF(OR(D289="",E289=""),"",ROUND((E289-D289)*1440,0))</f>
      </c>
      <c r="G289">
        <f>IF(F289="","",TEXT(F289/1440,"[h]:mm"))</f>
      </c>
    </row>
    <row r="290">
      <c r="F290">
        <f>IF(OR(D290="",E290=""),"",ROUND((E290-D290)*1440,0))</f>
      </c>
      <c r="G290">
        <f>IF(F290="","",TEXT(F290/1440,"[h]:mm"))</f>
      </c>
    </row>
    <row r="291">
      <c r="F291">
        <f>IF(OR(D291="",E291=""),"",ROUND((E291-D291)*1440,0))</f>
      </c>
      <c r="G291">
        <f>IF(F291="","",TEXT(F291/1440,"[h]:mm"))</f>
      </c>
    </row>
    <row r="292">
      <c r="F292">
        <f>IF(OR(D292="",E292=""),"",ROUND((E292-D292)*1440,0))</f>
      </c>
      <c r="G292">
        <f>IF(F292="","",TEXT(F292/1440,"[h]:mm"))</f>
      </c>
    </row>
    <row r="293">
      <c r="F293">
        <f>IF(OR(D293="",E293=""),"",ROUND((E293-D293)*1440,0))</f>
      </c>
      <c r="G293">
        <f>IF(F293="","",TEXT(F293/1440,"[h]:mm"))</f>
      </c>
    </row>
    <row r="294">
      <c r="F294">
        <f>IF(OR(D294="",E294=""),"",ROUND((E294-D294)*1440,0))</f>
      </c>
      <c r="G294">
        <f>IF(F294="","",TEXT(F294/1440,"[h]:mm"))</f>
      </c>
    </row>
    <row r="295">
      <c r="F295">
        <f>IF(OR(D295="",E295=""),"",ROUND((E295-D295)*1440,0))</f>
      </c>
      <c r="G295">
        <f>IF(F295="","",TEXT(F295/1440,"[h]:mm"))</f>
      </c>
    </row>
    <row r="296">
      <c r="F296">
        <f>IF(OR(D296="",E296=""),"",ROUND((E296-D296)*1440,0))</f>
      </c>
      <c r="G296">
        <f>IF(F296="","",TEXT(F296/1440,"[h]:mm"))</f>
      </c>
    </row>
    <row r="297">
      <c r="F297">
        <f>IF(OR(D297="",E297=""),"",ROUND((E297-D297)*1440,0))</f>
      </c>
      <c r="G297">
        <f>IF(F297="","",TEXT(F297/1440,"[h]:mm"))</f>
      </c>
    </row>
    <row r="298">
      <c r="F298">
        <f>IF(OR(D298="",E298=""),"",ROUND((E298-D298)*1440,0))</f>
      </c>
      <c r="G298">
        <f>IF(F298="","",TEXT(F298/1440,"[h]:mm"))</f>
      </c>
    </row>
    <row r="299">
      <c r="F299">
        <f>IF(OR(D299="",E299=""),"",ROUND((E299-D299)*1440,0))</f>
      </c>
      <c r="G299">
        <f>IF(F299="","",TEXT(F299/1440,"[h]:mm"))</f>
      </c>
    </row>
    <row r="300">
      <c r="F300">
        <f>IF(OR(D300="",E300=""),"",ROUND((E300-D300)*1440,0))</f>
      </c>
      <c r="G300">
        <f>IF(F300="","",TEXT(F300/1440,"[h]:mm"))</f>
      </c>
    </row>
    <row r="301">
      <c r="F301">
        <f>IF(OR(D301="",E301=""),"",ROUND((E301-D301)*1440,0))</f>
      </c>
      <c r="G301">
        <f>IF(F301="","",TEXT(F301/1440,"[h]:mm"))</f>
      </c>
    </row>
    <row r="302">
      <c r="F302">
        <f>IF(OR(D302="",E302=""),"",ROUND((E302-D302)*1440,0))</f>
      </c>
      <c r="G302">
        <f>IF(F302="","",TEXT(F302/1440,"[h]:mm"))</f>
      </c>
    </row>
    <row r="303">
      <c r="F303">
        <f>IF(OR(D303="",E303=""),"",ROUND((E303-D303)*1440,0))</f>
      </c>
      <c r="G303">
        <f>IF(F303="","",TEXT(F303/1440,"[h]:mm"))</f>
      </c>
    </row>
    <row r="304">
      <c r="F304">
        <f>IF(OR(D304="",E304=""),"",ROUND((E304-D304)*1440,0))</f>
      </c>
      <c r="G304">
        <f>IF(F304="","",TEXT(F304/1440,"[h]:mm"))</f>
      </c>
    </row>
    <row r="305">
      <c r="F305">
        <f>IF(OR(D305="",E305=""),"",ROUND((E305-D305)*1440,0))</f>
      </c>
      <c r="G305">
        <f>IF(F305="","",TEXT(F305/1440,"[h]:mm"))</f>
      </c>
    </row>
    <row r="306">
      <c r="F306">
        <f>IF(OR(D306="",E306=""),"",ROUND((E306-D306)*1440,0))</f>
      </c>
      <c r="G306">
        <f>IF(F306="","",TEXT(F306/1440,"[h]:mm"))</f>
      </c>
    </row>
    <row r="307">
      <c r="F307">
        <f>IF(OR(D307="",E307=""),"",ROUND((E307-D307)*1440,0))</f>
      </c>
      <c r="G307">
        <f>IF(F307="","",TEXT(F307/1440,"[h]:mm"))</f>
      </c>
    </row>
    <row r="308">
      <c r="F308">
        <f>IF(OR(D308="",E308=""),"",ROUND((E308-D308)*1440,0))</f>
      </c>
      <c r="G308">
        <f>IF(F308="","",TEXT(F308/1440,"[h]:mm"))</f>
      </c>
    </row>
    <row r="309">
      <c r="F309">
        <f>IF(OR(D309="",E309=""),"",ROUND((E309-D309)*1440,0))</f>
      </c>
      <c r="G309">
        <f>IF(F309="","",TEXT(F309/1440,"[h]:mm"))</f>
      </c>
    </row>
    <row r="310">
      <c r="F310">
        <f>IF(OR(D310="",E310=""),"",ROUND((E310-D310)*1440,0))</f>
      </c>
      <c r="G310">
        <f>IF(F310="","",TEXT(F310/1440,"[h]:mm"))</f>
      </c>
    </row>
    <row r="311">
      <c r="F311">
        <f>IF(OR(D311="",E311=""),"",ROUND((E311-D311)*1440,0))</f>
      </c>
      <c r="G311">
        <f>IF(F311="","",TEXT(F311/1440,"[h]:mm"))</f>
      </c>
    </row>
    <row r="312">
      <c r="F312">
        <f>IF(OR(D312="",E312=""),"",ROUND((E312-D312)*1440,0))</f>
      </c>
      <c r="G312">
        <f>IF(F312="","",TEXT(F312/1440,"[h]:mm"))</f>
      </c>
    </row>
    <row r="313">
      <c r="F313">
        <f>IF(OR(D313="",E313=""),"",ROUND((E313-D313)*1440,0))</f>
      </c>
      <c r="G313">
        <f>IF(F313="","",TEXT(F313/1440,"[h]:mm"))</f>
      </c>
    </row>
    <row r="314">
      <c r="F314">
        <f>IF(OR(D314="",E314=""),"",ROUND((E314-D314)*1440,0))</f>
      </c>
      <c r="G314">
        <f>IF(F314="","",TEXT(F314/1440,"[h]:mm"))</f>
      </c>
    </row>
    <row r="315">
      <c r="F315">
        <f>IF(OR(D315="",E315=""),"",ROUND((E315-D315)*1440,0))</f>
      </c>
      <c r="G315">
        <f>IF(F315="","",TEXT(F315/1440,"[h]:mm"))</f>
      </c>
    </row>
    <row r="316">
      <c r="F316">
        <f>IF(OR(D316="",E316=""),"",ROUND((E316-D316)*1440,0))</f>
      </c>
      <c r="G316">
        <f>IF(F316="","",TEXT(F316/1440,"[h]:mm"))</f>
      </c>
    </row>
    <row r="317">
      <c r="F317">
        <f>IF(OR(D317="",E317=""),"",ROUND((E317-D317)*1440,0))</f>
      </c>
      <c r="G317">
        <f>IF(F317="","",TEXT(F317/1440,"[h]:mm"))</f>
      </c>
    </row>
    <row r="318">
      <c r="F318">
        <f>IF(OR(D318="",E318=""),"",ROUND((E318-D318)*1440,0))</f>
      </c>
      <c r="G318">
        <f>IF(F318="","",TEXT(F318/1440,"[h]:mm"))</f>
      </c>
    </row>
    <row r="319">
      <c r="F319">
        <f>IF(OR(D319="",E319=""),"",ROUND((E319-D319)*1440,0))</f>
      </c>
      <c r="G319">
        <f>IF(F319="","",TEXT(F319/1440,"[h]:mm"))</f>
      </c>
    </row>
    <row r="320">
      <c r="F320">
        <f>IF(OR(D320="",E320=""),"",ROUND((E320-D320)*1440,0))</f>
      </c>
      <c r="G320">
        <f>IF(F320="","",TEXT(F320/1440,"[h]:mm"))</f>
      </c>
    </row>
    <row r="321">
      <c r="F321">
        <f>IF(OR(D321="",E321=""),"",ROUND((E321-D321)*1440,0))</f>
      </c>
      <c r="G321">
        <f>IF(F321="","",TEXT(F321/1440,"[h]:mm"))</f>
      </c>
    </row>
    <row r="322">
      <c r="F322">
        <f>IF(OR(D322="",E322=""),"",ROUND((E322-D322)*1440,0))</f>
      </c>
      <c r="G322">
        <f>IF(F322="","",TEXT(F322/1440,"[h]:mm"))</f>
      </c>
    </row>
    <row r="323">
      <c r="F323">
        <f>IF(OR(D323="",E323=""),"",ROUND((E323-D323)*1440,0))</f>
      </c>
      <c r="G323">
        <f>IF(F323="","",TEXT(F323/1440,"[h]:mm"))</f>
      </c>
    </row>
    <row r="324">
      <c r="F324">
        <f>IF(OR(D324="",E324=""),"",ROUND((E324-D324)*1440,0))</f>
      </c>
      <c r="G324">
        <f>IF(F324="","",TEXT(F324/1440,"[h]:mm"))</f>
      </c>
    </row>
    <row r="325">
      <c r="F325">
        <f>IF(OR(D325="",E325=""),"",ROUND((E325-D325)*1440,0))</f>
      </c>
      <c r="G325">
        <f>IF(F325="","",TEXT(F325/1440,"[h]:mm"))</f>
      </c>
    </row>
    <row r="326">
      <c r="F326">
        <f>IF(OR(D326="",E326=""),"",ROUND((E326-D326)*1440,0))</f>
      </c>
      <c r="G326">
        <f>IF(F326="","",TEXT(F326/1440,"[h]:mm"))</f>
      </c>
    </row>
    <row r="327">
      <c r="F327">
        <f>IF(OR(D327="",E327=""),"",ROUND((E327-D327)*1440,0))</f>
      </c>
      <c r="G327">
        <f>IF(F327="","",TEXT(F327/1440,"[h]:mm"))</f>
      </c>
    </row>
    <row r="328">
      <c r="F328">
        <f>IF(OR(D328="",E328=""),"",ROUND((E328-D328)*1440,0))</f>
      </c>
      <c r="G328">
        <f>IF(F328="","",TEXT(F328/1440,"[h]:mm"))</f>
      </c>
    </row>
    <row r="329">
      <c r="F329">
        <f>IF(OR(D329="",E329=""),"",ROUND((E329-D329)*1440,0))</f>
      </c>
      <c r="G329">
        <f>IF(F329="","",TEXT(F329/1440,"[h]:mm"))</f>
      </c>
    </row>
    <row r="330">
      <c r="F330">
        <f>IF(OR(D330="",E330=""),"",ROUND((E330-D330)*1440,0))</f>
      </c>
      <c r="G330">
        <f>IF(F330="","",TEXT(F330/1440,"[h]:mm"))</f>
      </c>
    </row>
    <row r="331">
      <c r="F331">
        <f>IF(OR(D331="",E331=""),"",ROUND((E331-D331)*1440,0))</f>
      </c>
      <c r="G331">
        <f>IF(F331="","",TEXT(F331/1440,"[h]:mm"))</f>
      </c>
    </row>
    <row r="332">
      <c r="F332">
        <f>IF(OR(D332="",E332=""),"",ROUND((E332-D332)*1440,0))</f>
      </c>
      <c r="G332">
        <f>IF(F332="","",TEXT(F332/1440,"[h]:mm"))</f>
      </c>
    </row>
    <row r="333">
      <c r="F333">
        <f>IF(OR(D333="",E333=""),"",ROUND((E333-D333)*1440,0))</f>
      </c>
      <c r="G333">
        <f>IF(F333="","",TEXT(F333/1440,"[h]:mm"))</f>
      </c>
    </row>
    <row r="334">
      <c r="F334">
        <f>IF(OR(D334="",E334=""),"",ROUND((E334-D334)*1440,0))</f>
      </c>
      <c r="G334">
        <f>IF(F334="","",TEXT(F334/1440,"[h]:mm"))</f>
      </c>
    </row>
    <row r="335">
      <c r="F335">
        <f>IF(OR(D335="",E335=""),"",ROUND((E335-D335)*1440,0))</f>
      </c>
      <c r="G335">
        <f>IF(F335="","",TEXT(F335/1440,"[h]:mm"))</f>
      </c>
    </row>
    <row r="336">
      <c r="F336">
        <f>IF(OR(D336="",E336=""),"",ROUND((E336-D336)*1440,0))</f>
      </c>
      <c r="G336">
        <f>IF(F336="","",TEXT(F336/1440,"[h]:mm"))</f>
      </c>
    </row>
    <row r="337">
      <c r="F337">
        <f>IF(OR(D337="",E337=""),"",ROUND((E337-D337)*1440,0))</f>
      </c>
      <c r="G337">
        <f>IF(F337="","",TEXT(F337/1440,"[h]:mm"))</f>
      </c>
    </row>
    <row r="338">
      <c r="F338">
        <f>IF(OR(D338="",E338=""),"",ROUND((E338-D338)*1440,0))</f>
      </c>
      <c r="G338">
        <f>IF(F338="","",TEXT(F338/1440,"[h]:mm"))</f>
      </c>
    </row>
    <row r="339">
      <c r="F339">
        <f>IF(OR(D339="",E339=""),"",ROUND((E339-D339)*1440,0))</f>
      </c>
      <c r="G339">
        <f>IF(F339="","",TEXT(F339/1440,"[h]:mm"))</f>
      </c>
    </row>
    <row r="340">
      <c r="F340">
        <f>IF(OR(D340="",E340=""),"",ROUND((E340-D340)*1440,0))</f>
      </c>
      <c r="G340">
        <f>IF(F340="","",TEXT(F340/1440,"[h]:mm"))</f>
      </c>
    </row>
    <row r="341">
      <c r="F341">
        <f>IF(OR(D341="",E341=""),"",ROUND((E341-D341)*1440,0))</f>
      </c>
      <c r="G341">
        <f>IF(F341="","",TEXT(F341/1440,"[h]:mm"))</f>
      </c>
    </row>
    <row r="342">
      <c r="F342">
        <f>IF(OR(D342="",E342=""),"",ROUND((E342-D342)*1440,0))</f>
      </c>
      <c r="G342">
        <f>IF(F342="","",TEXT(F342/1440,"[h]:mm"))</f>
      </c>
    </row>
    <row r="343">
      <c r="F343">
        <f>IF(OR(D343="",E343=""),"",ROUND((E343-D343)*1440,0))</f>
      </c>
      <c r="G343">
        <f>IF(F343="","",TEXT(F343/1440,"[h]:mm"))</f>
      </c>
    </row>
    <row r="344">
      <c r="F344">
        <f>IF(OR(D344="",E344=""),"",ROUND((E344-D344)*1440,0))</f>
      </c>
      <c r="G344">
        <f>IF(F344="","",TEXT(F344/1440,"[h]:mm"))</f>
      </c>
    </row>
    <row r="345">
      <c r="F345">
        <f>IF(OR(D345="",E345=""),"",ROUND((E345-D345)*1440,0))</f>
      </c>
      <c r="G345">
        <f>IF(F345="","",TEXT(F345/1440,"[h]:mm"))</f>
      </c>
    </row>
    <row r="346">
      <c r="F346">
        <f>IF(OR(D346="",E346=""),"",ROUND((E346-D346)*1440,0))</f>
      </c>
      <c r="G346">
        <f>IF(F346="","",TEXT(F346/1440,"[h]:mm"))</f>
      </c>
    </row>
    <row r="347">
      <c r="F347">
        <f>IF(OR(D347="",E347=""),"",ROUND((E347-D347)*1440,0))</f>
      </c>
      <c r="G347">
        <f>IF(F347="","",TEXT(F347/1440,"[h]:mm"))</f>
      </c>
    </row>
    <row r="348">
      <c r="F348">
        <f>IF(OR(D348="",E348=""),"",ROUND((E348-D348)*1440,0))</f>
      </c>
      <c r="G348">
        <f>IF(F348="","",TEXT(F348/1440,"[h]:mm"))</f>
      </c>
    </row>
    <row r="349">
      <c r="F349">
        <f>IF(OR(D349="",E349=""),"",ROUND((E349-D349)*1440,0))</f>
      </c>
      <c r="G349">
        <f>IF(F349="","",TEXT(F349/1440,"[h]:mm"))</f>
      </c>
    </row>
    <row r="350">
      <c r="F350">
        <f>IF(OR(D350="",E350=""),"",ROUND((E350-D350)*1440,0))</f>
      </c>
      <c r="G350">
        <f>IF(F350="","",TEXT(F350/1440,"[h]:mm"))</f>
      </c>
    </row>
    <row r="351">
      <c r="F351">
        <f>IF(OR(D351="",E351=""),"",ROUND((E351-D351)*1440,0))</f>
      </c>
      <c r="G351">
        <f>IF(F351="","",TEXT(F351/1440,"[h]:mm"))</f>
      </c>
    </row>
    <row r="352">
      <c r="F352">
        <f>IF(OR(D352="",E352=""),"",ROUND((E352-D352)*1440,0))</f>
      </c>
      <c r="G352">
        <f>IF(F352="","",TEXT(F352/1440,"[h]:mm"))</f>
      </c>
    </row>
    <row r="353">
      <c r="F353">
        <f>IF(OR(D353="",E353=""),"",ROUND((E353-D353)*1440,0))</f>
      </c>
      <c r="G353">
        <f>IF(F353="","",TEXT(F353/1440,"[h]:mm"))</f>
      </c>
    </row>
    <row r="354">
      <c r="F354">
        <f>IF(OR(D354="",E354=""),"",ROUND((E354-D354)*1440,0))</f>
      </c>
      <c r="G354">
        <f>IF(F354="","",TEXT(F354/1440,"[h]:mm"))</f>
      </c>
    </row>
    <row r="355">
      <c r="F355">
        <f>IF(OR(D355="",E355=""),"",ROUND((E355-D355)*1440,0))</f>
      </c>
      <c r="G355">
        <f>IF(F355="","",TEXT(F355/1440,"[h]:mm"))</f>
      </c>
    </row>
    <row r="356">
      <c r="F356">
        <f>IF(OR(D356="",E356=""),"",ROUND((E356-D356)*1440,0))</f>
      </c>
      <c r="G356">
        <f>IF(F356="","",TEXT(F356/1440,"[h]:mm"))</f>
      </c>
    </row>
    <row r="357">
      <c r="F357">
        <f>IF(OR(D357="",E357=""),"",ROUND((E357-D357)*1440,0))</f>
      </c>
      <c r="G357">
        <f>IF(F357="","",TEXT(F357/1440,"[h]:mm"))</f>
      </c>
    </row>
    <row r="358">
      <c r="F358">
        <f>IF(OR(D358="",E358=""),"",ROUND((E358-D358)*1440,0))</f>
      </c>
      <c r="G358">
        <f>IF(F358="","",TEXT(F358/1440,"[h]:mm"))</f>
      </c>
    </row>
    <row r="359">
      <c r="F359">
        <f>IF(OR(D359="",E359=""),"",ROUND((E359-D359)*1440,0))</f>
      </c>
      <c r="G359">
        <f>IF(F359="","",TEXT(F359/1440,"[h]:mm"))</f>
      </c>
    </row>
    <row r="360">
      <c r="F360">
        <f>IF(OR(D360="",E360=""),"",ROUND((E360-D360)*1440,0))</f>
      </c>
      <c r="G360">
        <f>IF(F360="","",TEXT(F360/1440,"[h]:mm"))</f>
      </c>
    </row>
    <row r="361">
      <c r="F361">
        <f>IF(OR(D361="",E361=""),"",ROUND((E361-D361)*1440,0))</f>
      </c>
      <c r="G361">
        <f>IF(F361="","",TEXT(F361/1440,"[h]:mm"))</f>
      </c>
    </row>
    <row r="362">
      <c r="F362">
        <f>IF(OR(D362="",E362=""),"",ROUND((E362-D362)*1440,0))</f>
      </c>
      <c r="G362">
        <f>IF(F362="","",TEXT(F362/1440,"[h]:mm"))</f>
      </c>
    </row>
    <row r="363">
      <c r="F363">
        <f>IF(OR(D363="",E363=""),"",ROUND((E363-D363)*1440,0))</f>
      </c>
      <c r="G363">
        <f>IF(F363="","",TEXT(F363/1440,"[h]:mm"))</f>
      </c>
    </row>
    <row r="364">
      <c r="F364">
        <f>IF(OR(D364="",E364=""),"",ROUND((E364-D364)*1440,0))</f>
      </c>
      <c r="G364">
        <f>IF(F364="","",TEXT(F364/1440,"[h]:mm"))</f>
      </c>
    </row>
    <row r="365">
      <c r="F365">
        <f>IF(OR(D365="",E365=""),"",ROUND((E365-D365)*1440,0))</f>
      </c>
      <c r="G365">
        <f>IF(F365="","",TEXT(F365/1440,"[h]:mm"))</f>
      </c>
    </row>
    <row r="366">
      <c r="F366">
        <f>IF(OR(D366="",E366=""),"",ROUND((E366-D366)*1440,0))</f>
      </c>
      <c r="G366">
        <f>IF(F366="","",TEXT(F366/1440,"[h]:mm"))</f>
      </c>
    </row>
    <row r="367">
      <c r="F367">
        <f>IF(OR(D367="",E367=""),"",ROUND((E367-D367)*1440,0))</f>
      </c>
      <c r="G367">
        <f>IF(F367="","",TEXT(F367/1440,"[h]:mm"))</f>
      </c>
    </row>
    <row r="368">
      <c r="F368">
        <f>IF(OR(D368="",E368=""),"",ROUND((E368-D368)*1440,0))</f>
      </c>
      <c r="G368">
        <f>IF(F368="","",TEXT(F368/1440,"[h]:mm"))</f>
      </c>
    </row>
    <row r="369">
      <c r="F369">
        <f>IF(OR(D369="",E369=""),"",ROUND((E369-D369)*1440,0))</f>
      </c>
      <c r="G369">
        <f>IF(F369="","",TEXT(F369/1440,"[h]:mm"))</f>
      </c>
    </row>
    <row r="370">
      <c r="F370">
        <f>IF(OR(D370="",E370=""),"",ROUND((E370-D370)*1440,0))</f>
      </c>
      <c r="G370">
        <f>IF(F370="","",TEXT(F370/1440,"[h]:mm"))</f>
      </c>
    </row>
    <row r="371">
      <c r="F371">
        <f>IF(OR(D371="",E371=""),"",ROUND((E371-D371)*1440,0))</f>
      </c>
      <c r="G371">
        <f>IF(F371="","",TEXT(F371/1440,"[h]:mm"))</f>
      </c>
    </row>
    <row r="372">
      <c r="F372">
        <f>IF(OR(D372="",E372=""),"",ROUND((E372-D372)*1440,0))</f>
      </c>
      <c r="G372">
        <f>IF(F372="","",TEXT(F372/1440,"[h]:mm"))</f>
      </c>
    </row>
    <row r="373">
      <c r="F373">
        <f>IF(OR(D373="",E373=""),"",ROUND((E373-D373)*1440,0))</f>
      </c>
      <c r="G373">
        <f>IF(F373="","",TEXT(F373/1440,"[h]:mm"))</f>
      </c>
    </row>
    <row r="374">
      <c r="F374">
        <f>IF(OR(D374="",E374=""),"",ROUND((E374-D374)*1440,0))</f>
      </c>
      <c r="G374">
        <f>IF(F374="","",TEXT(F374/1440,"[h]:mm"))</f>
      </c>
    </row>
    <row r="375">
      <c r="F375">
        <f>IF(OR(D375="",E375=""),"",ROUND((E375-D375)*1440,0))</f>
      </c>
      <c r="G375">
        <f>IF(F375="","",TEXT(F375/1440,"[h]:mm"))</f>
      </c>
    </row>
    <row r="376">
      <c r="F376">
        <f>IF(OR(D376="",E376=""),"",ROUND((E376-D376)*1440,0))</f>
      </c>
      <c r="G376">
        <f>IF(F376="","",TEXT(F376/1440,"[h]:mm"))</f>
      </c>
    </row>
    <row r="377">
      <c r="F377">
        <f>IF(OR(D377="",E377=""),"",ROUND((E377-D377)*1440,0))</f>
      </c>
      <c r="G377">
        <f>IF(F377="","",TEXT(F377/1440,"[h]:mm"))</f>
      </c>
    </row>
    <row r="378">
      <c r="F378">
        <f>IF(OR(D378="",E378=""),"",ROUND((E378-D378)*1440,0))</f>
      </c>
      <c r="G378">
        <f>IF(F378="","",TEXT(F378/1440,"[h]:mm"))</f>
      </c>
    </row>
    <row r="379">
      <c r="F379">
        <f>IF(OR(D379="",E379=""),"",ROUND((E379-D379)*1440,0))</f>
      </c>
      <c r="G379">
        <f>IF(F379="","",TEXT(F379/1440,"[h]:mm"))</f>
      </c>
    </row>
    <row r="380">
      <c r="F380">
        <f>IF(OR(D380="",E380=""),"",ROUND((E380-D380)*1440,0))</f>
      </c>
      <c r="G380">
        <f>IF(F380="","",TEXT(F380/1440,"[h]:mm"))</f>
      </c>
    </row>
    <row r="381">
      <c r="F381">
        <f>IF(OR(D381="",E381=""),"",ROUND((E381-D381)*1440,0))</f>
      </c>
      <c r="G381">
        <f>IF(F381="","",TEXT(F381/1440,"[h]:mm"))</f>
      </c>
    </row>
    <row r="382">
      <c r="F382">
        <f>IF(OR(D382="",E382=""),"",ROUND((E382-D382)*1440,0))</f>
      </c>
      <c r="G382">
        <f>IF(F382="","",TEXT(F382/1440,"[h]:mm"))</f>
      </c>
    </row>
    <row r="383">
      <c r="F383">
        <f>IF(OR(D383="",E383=""),"",ROUND((E383-D383)*1440,0))</f>
      </c>
      <c r="G383">
        <f>IF(F383="","",TEXT(F383/1440,"[h]:mm"))</f>
      </c>
    </row>
    <row r="384">
      <c r="F384">
        <f>IF(OR(D384="",E384=""),"",ROUND((E384-D384)*1440,0))</f>
      </c>
      <c r="G384">
        <f>IF(F384="","",TEXT(F384/1440,"[h]:mm"))</f>
      </c>
    </row>
    <row r="385">
      <c r="F385">
        <f>IF(OR(D385="",E385=""),"",ROUND((E385-D385)*1440,0))</f>
      </c>
      <c r="G385">
        <f>IF(F385="","",TEXT(F385/1440,"[h]:mm"))</f>
      </c>
    </row>
    <row r="386">
      <c r="F386">
        <f>IF(OR(D386="",E386=""),"",ROUND((E386-D386)*1440,0))</f>
      </c>
      <c r="G386">
        <f>IF(F386="","",TEXT(F386/1440,"[h]:mm"))</f>
      </c>
    </row>
    <row r="387">
      <c r="F387">
        <f>IF(OR(D387="",E387=""),"",ROUND((E387-D387)*1440,0))</f>
      </c>
      <c r="G387">
        <f>IF(F387="","",TEXT(F387/1440,"[h]:mm"))</f>
      </c>
    </row>
    <row r="388">
      <c r="F388">
        <f>IF(OR(D388="",E388=""),"",ROUND((E388-D388)*1440,0))</f>
      </c>
      <c r="G388">
        <f>IF(F388="","",TEXT(F388/1440,"[h]:mm"))</f>
      </c>
    </row>
    <row r="389">
      <c r="F389">
        <f>IF(OR(D389="",E389=""),"",ROUND((E389-D389)*1440,0))</f>
      </c>
      <c r="G389">
        <f>IF(F389="","",TEXT(F389/1440,"[h]:mm"))</f>
      </c>
    </row>
    <row r="390">
      <c r="F390">
        <f>IF(OR(D390="",E390=""),"",ROUND((E390-D390)*1440,0))</f>
      </c>
      <c r="G390">
        <f>IF(F390="","",TEXT(F390/1440,"[h]:mm"))</f>
      </c>
    </row>
    <row r="391">
      <c r="F391">
        <f>IF(OR(D391="",E391=""),"",ROUND((E391-D391)*1440,0))</f>
      </c>
      <c r="G391">
        <f>IF(F391="","",TEXT(F391/1440,"[h]:mm"))</f>
      </c>
    </row>
    <row r="392">
      <c r="F392">
        <f>IF(OR(D392="",E392=""),"",ROUND((E392-D392)*1440,0))</f>
      </c>
      <c r="G392">
        <f>IF(F392="","",TEXT(F392/1440,"[h]:mm"))</f>
      </c>
    </row>
    <row r="393">
      <c r="F393">
        <f>IF(OR(D393="",E393=""),"",ROUND((E393-D393)*1440,0))</f>
      </c>
      <c r="G393">
        <f>IF(F393="","",TEXT(F393/1440,"[h]:mm"))</f>
      </c>
    </row>
    <row r="394">
      <c r="F394">
        <f>IF(OR(D394="",E394=""),"",ROUND((E394-D394)*1440,0))</f>
      </c>
      <c r="G394">
        <f>IF(F394="","",TEXT(F394/1440,"[h]:mm"))</f>
      </c>
    </row>
    <row r="395">
      <c r="F395">
        <f>IF(OR(D395="",E395=""),"",ROUND((E395-D395)*1440,0))</f>
      </c>
      <c r="G395">
        <f>IF(F395="","",TEXT(F395/1440,"[h]:mm"))</f>
      </c>
    </row>
    <row r="396">
      <c r="F396">
        <f>IF(OR(D396="",E396=""),"",ROUND((E396-D396)*1440,0))</f>
      </c>
      <c r="G396">
        <f>IF(F396="","",TEXT(F396/1440,"[h]:mm"))</f>
      </c>
    </row>
    <row r="397">
      <c r="F397">
        <f>IF(OR(D397="",E397=""),"",ROUND((E397-D397)*1440,0))</f>
      </c>
      <c r="G397">
        <f>IF(F397="","",TEXT(F397/1440,"[h]:mm"))</f>
      </c>
    </row>
    <row r="398">
      <c r="F398">
        <f>IF(OR(D398="",E398=""),"",ROUND((E398-D398)*1440,0))</f>
      </c>
      <c r="G398">
        <f>IF(F398="","",TEXT(F398/1440,"[h]:mm"))</f>
      </c>
    </row>
    <row r="399">
      <c r="F399">
        <f>IF(OR(D399="",E399=""),"",ROUND((E399-D399)*1440,0))</f>
      </c>
      <c r="G399">
        <f>IF(F399="","",TEXT(F399/1440,"[h]:mm"))</f>
      </c>
    </row>
    <row r="400">
      <c r="F400">
        <f>IF(OR(D400="",E400=""),"",ROUND((E400-D400)*1440,0))</f>
      </c>
      <c r="G400">
        <f>IF(F400="","",TEXT(F400/1440,"[h]:mm"))</f>
      </c>
    </row>
  </sheetData>
  <conditionalFormatting sqref="O2:O400">
    <cfRule type="cellIs" dxfId="0" priority="1" operator="equal">
      <formula>"OPEN"</formula>
    </cfRule>
  </conditionalFormatting>
  <conditionalFormatting sqref="O2:O400">
    <cfRule type="cellIs" dxfId="1" priority="2" operator="equal">
      <formula>"LOW GPS"</formula>
    </cfRule>
  </conditionalFormatting>
  <conditionalFormatting sqref="O2:O400">
    <cfRule type="cellIs" dxfId="2" priority="3" operator="equal">
      <formula>"OK"</formula>
    </cfRule>
  </conditionalFormatting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"/>
  <cols>
    <col min="1" max="1" width="16" customWidth="1"/>
    <col min="2" max="5" width="13" customWidth="1"/>
  </cols>
  <sheetData>
    <row r="1" ht="24" customHeight="1">
      <c r="A1" s="1" t="inlineStr">
        <is>
          <t>week_start</t>
        </is>
      </c>
      <c r="B1" s="1" t="inlineStr">
        <is>
          <t>sessions</t>
        </is>
      </c>
      <c r="C1" s="1" t="inlineStr">
        <is>
          <t>total_min</t>
        </is>
      </c>
      <c r="D1" s="1" t="inlineStr">
        <is>
          <t>total_hours</t>
        </is>
      </c>
      <c r="E1" s="1" t="inlineStr">
        <is>
          <t>flagged</t>
        </is>
      </c>
    </row>
    <row r="2">
      <c r="A2" s="2">
        <v>46265</v>
      </c>
      <c r="B2">
        <f>COUNTIFS(Sep_2026!$C:$C,"&gt;="&amp;A2,Sep_2026!$C:$C,"&lt;"&amp;A2+7)</f>
      </c>
      <c r="C2">
        <f>SUMIFS(Sep_2026!$F:$F,Sep_2026!$C:$C,"&gt;="&amp;A2,Sep_2026!$C:$C,"&lt;"&amp;A2+7)</f>
      </c>
      <c r="D2">
        <f>ROUND(C2/60,2)</f>
      </c>
      <c r="E2">
        <f>COUNTIFS(Sep_2026!$C:$C,"&gt;="&amp;A2,Sep_2026!$C:$C,"&lt;"&amp;A2+7,Sep_2026!$O:$O,"&lt;&gt;OK")</f>
      </c>
    </row>
    <row r="3">
      <c r="A3" s="2">
        <v>46272</v>
      </c>
      <c r="B3">
        <f>COUNTIFS(Sep_2026!$C:$C,"&gt;="&amp;A3,Sep_2026!$C:$C,"&lt;"&amp;A3+7)</f>
      </c>
      <c r="C3">
        <f>SUMIFS(Sep_2026!$F:$F,Sep_2026!$C:$C,"&gt;="&amp;A3,Sep_2026!$C:$C,"&lt;"&amp;A3+7)</f>
      </c>
      <c r="D3">
        <f>ROUND(C3/60,2)</f>
      </c>
      <c r="E3">
        <f>COUNTIFS(Sep_2026!$C:$C,"&gt;="&amp;A3,Sep_2026!$C:$C,"&lt;"&amp;A3+7,Sep_2026!$O:$O,"&lt;&gt;OK")</f>
      </c>
    </row>
    <row r="4">
      <c r="A4" s="2">
        <v>46279</v>
      </c>
      <c r="B4">
        <f>COUNTIFS(Sep_2026!$C:$C,"&gt;="&amp;A4,Sep_2026!$C:$C,"&lt;"&amp;A4+7)</f>
      </c>
      <c r="C4">
        <f>SUMIFS(Sep_2026!$F:$F,Sep_2026!$C:$C,"&gt;="&amp;A4,Sep_2026!$C:$C,"&lt;"&amp;A4+7)</f>
      </c>
      <c r="D4">
        <f>ROUND(C4/60,2)</f>
      </c>
      <c r="E4">
        <f>COUNTIFS(Sep_2026!$C:$C,"&gt;="&amp;A4,Sep_2026!$C:$C,"&lt;"&amp;A4+7,Sep_2026!$O:$O,"&lt;&gt;OK")</f>
      </c>
    </row>
    <row r="5">
      <c r="A5" s="2">
        <v>46286</v>
      </c>
      <c r="B5">
        <f>COUNTIFS(Sep_2026!$C:$C,"&gt;="&amp;A5,Sep_2026!$C:$C,"&lt;"&amp;A5+7)</f>
      </c>
      <c r="C5">
        <f>SUMIFS(Sep_2026!$F:$F,Sep_2026!$C:$C,"&gt;="&amp;A5,Sep_2026!$C:$C,"&lt;"&amp;A5+7)</f>
      </c>
      <c r="D5">
        <f>ROUND(C5/60,2)</f>
      </c>
      <c r="E5">
        <f>COUNTIFS(Sep_2026!$C:$C,"&gt;="&amp;A5,Sep_2026!$C:$C,"&lt;"&amp;A5+7,Sep_2026!$O:$O,"&lt;&gt;OK")</f>
      </c>
    </row>
    <row r="6">
      <c r="A6" s="2">
        <v>46293</v>
      </c>
      <c r="B6">
        <f>COUNTIFS(Sep_2026!$C:$C,"&gt;="&amp;A6,Sep_2026!$C:$C,"&lt;"&amp;A6+7)</f>
      </c>
      <c r="C6">
        <f>SUMIFS(Sep_2026!$F:$F,Sep_2026!$C:$C,"&gt;="&amp;A6,Sep_2026!$C:$C,"&lt;"&amp;A6+7)</f>
      </c>
      <c r="D6">
        <f>ROUND(C6/60,2)</f>
      </c>
      <c r="E6">
        <f>COUNTIFS(Sep_2026!$C:$C,"&gt;="&amp;A6,Sep_2026!$C:$C,"&lt;"&amp;A6+7,Sep_2026!$O:$O,"&lt;&gt;OK")</f>
      </c>
    </row>
    <row r="8">
      <c r="A8" s="4" t="inlineStr">
        <is>
          <t>MONTH TOTAL</t>
        </is>
      </c>
      <c r="C8">
        <f>SUM(C2:C6)</f>
      </c>
      <c r="D8">
        <f>ROUND(C8/60,2)</f>
      </c>
      <c r="E8">
        <f>SUM(E2:E6)</f>
      </c>
    </row>
    <row r="10">
      <c r="A10" s="4" t="inlineStr">
        <is>
          <t>Per-staff totals below — extend as needed</t>
        </is>
      </c>
    </row>
    <row r="11">
      <c r="A11" s="1" t="inlineStr">
        <is>
          <t>staff_id</t>
        </is>
      </c>
      <c r="B11" s="1" t="inlineStr">
        <is>
          <t>sessions</t>
        </is>
      </c>
      <c r="C11" s="1" t="inlineStr">
        <is>
          <t>total_min</t>
        </is>
      </c>
      <c r="D11" s="1" t="inlineStr">
        <is>
          <t>total_hours</t>
        </is>
      </c>
    </row>
    <row r="12">
      <c r="A12" t="inlineStr">
        <is>
          <t>EMP-0412</t>
        </is>
      </c>
      <c r="B12">
        <f>COUNTIF(Sep_2026!$A:$A,A12)</f>
      </c>
      <c r="C12">
        <f>SUMIF(Sep_2026!$A:$A,A12,Sep_2026!$F:$F)</f>
      </c>
      <c r="D12">
        <f>ROUND(C12/60,2)</f>
      </c>
    </row>
    <row r="13">
      <c r="A13" t="inlineStr">
        <is>
          <t>EMP-0198</t>
        </is>
      </c>
      <c r="B13">
        <f>COUNTIF(Sep_2026!$A:$A,A13)</f>
      </c>
      <c r="C13">
        <f>SUMIF(Sep_2026!$A:$A,A13,Sep_2026!$F:$F)</f>
      </c>
      <c r="D13">
        <f>ROUND(C13/60,2)</f>
      </c>
    </row>
    <row r="14">
      <c r="A14" t="inlineStr">
        <is>
          <t>EMP-0331</t>
        </is>
      </c>
      <c r="B14">
        <f>COUNTIF(Sep_2026!$A:$A,A14)</f>
      </c>
      <c r="C14">
        <f>SUMIF(Sep_2026!$A:$A,A14,Sep_2026!$F:$F)</f>
      </c>
      <c r="D14">
        <f>ROUND(C14/60,2)</f>
      </c>
    </row>
  </sheetData>
</worksheet>
</file>